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erc\OneDrive\Documentos\IMR TECH SpA\Clients\Aduanera\"/>
    </mc:Choice>
  </mc:AlternateContent>
  <xr:revisionPtr revIDLastSave="0" documentId="13_ncr:1_{C2F38AB0-FD9F-4112-BD90-03469DC26D5B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Prorrateo General" sheetId="1" r:id="rId1"/>
    <sheet name="Prorrateo resumen" sheetId="3" r:id="rId2"/>
  </sheets>
  <definedNames>
    <definedName name="_xlnm.Print_Area" localSheetId="1">'Prorrateo resumen'!$A$1:$G$32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C3" i="3"/>
  <c r="E3" i="3"/>
  <c r="F3" i="3"/>
  <c r="G3" i="3"/>
  <c r="C4" i="3"/>
  <c r="E4" i="3"/>
  <c r="F4" i="3"/>
  <c r="G4" i="3"/>
  <c r="A2" i="3"/>
  <c r="C11" i="3"/>
  <c r="E11" i="3"/>
  <c r="F11" i="3"/>
  <c r="G11" i="3"/>
  <c r="C12" i="3"/>
  <c r="E12" i="3"/>
  <c r="F12" i="3"/>
  <c r="G12" i="3"/>
  <c r="C13" i="3"/>
  <c r="E13" i="3"/>
  <c r="F13" i="3"/>
  <c r="G13" i="3"/>
  <c r="C14" i="3"/>
  <c r="E14" i="3"/>
  <c r="F14" i="3"/>
  <c r="G14" i="3"/>
  <c r="C15" i="3"/>
  <c r="E15" i="3"/>
  <c r="F15" i="3"/>
  <c r="G15" i="3"/>
  <c r="C16" i="3"/>
  <c r="E16" i="3"/>
  <c r="F16" i="3"/>
  <c r="G16" i="3"/>
  <c r="C17" i="3"/>
  <c r="E17" i="3"/>
  <c r="F17" i="3"/>
  <c r="G17" i="3"/>
  <c r="C18" i="3"/>
  <c r="E18" i="3"/>
  <c r="F18" i="3"/>
  <c r="G18" i="3"/>
  <c r="C19" i="3"/>
  <c r="E19" i="3"/>
  <c r="F19" i="3"/>
  <c r="G19" i="3"/>
  <c r="C20" i="3"/>
  <c r="E20" i="3"/>
  <c r="F20" i="3"/>
  <c r="G20" i="3"/>
  <c r="C21" i="3"/>
  <c r="E21" i="3"/>
  <c r="F21" i="3"/>
  <c r="G21" i="3"/>
  <c r="C22" i="3"/>
  <c r="E22" i="3"/>
  <c r="F22" i="3"/>
  <c r="G22" i="3"/>
  <c r="C23" i="3"/>
  <c r="E23" i="3"/>
  <c r="F23" i="3"/>
  <c r="G23" i="3"/>
  <c r="C24" i="3"/>
  <c r="E24" i="3"/>
  <c r="F24" i="3"/>
  <c r="G24" i="3"/>
  <c r="C25" i="3"/>
  <c r="E25" i="3"/>
  <c r="F25" i="3"/>
  <c r="G25" i="3"/>
  <c r="C26" i="3"/>
  <c r="E26" i="3"/>
  <c r="F26" i="3"/>
  <c r="G26" i="3"/>
  <c r="C27" i="3"/>
  <c r="E27" i="3"/>
  <c r="F27" i="3"/>
  <c r="G27" i="3"/>
  <c r="C28" i="3"/>
  <c r="E28" i="3"/>
  <c r="F28" i="3"/>
  <c r="G28" i="3"/>
  <c r="C29" i="3"/>
  <c r="E29" i="3"/>
  <c r="F29" i="3"/>
  <c r="G29" i="3"/>
  <c r="C30" i="3"/>
  <c r="E30" i="3"/>
  <c r="F30" i="3"/>
  <c r="G30" i="3"/>
  <c r="C31" i="3"/>
  <c r="E31" i="3"/>
  <c r="F31" i="3"/>
  <c r="G31" i="3"/>
  <c r="C2" i="3"/>
  <c r="E2" i="3"/>
  <c r="F2" i="3"/>
  <c r="G2" i="3"/>
  <c r="C5" i="3"/>
  <c r="E5" i="3"/>
  <c r="F5" i="3"/>
  <c r="G5" i="3"/>
  <c r="C6" i="3"/>
  <c r="E6" i="3"/>
  <c r="F6" i="3"/>
  <c r="G6" i="3"/>
  <c r="C7" i="3"/>
  <c r="E7" i="3"/>
  <c r="F7" i="3"/>
  <c r="G7" i="3"/>
  <c r="C8" i="3"/>
  <c r="E8" i="3"/>
  <c r="F8" i="3"/>
  <c r="G8" i="3"/>
  <c r="C9" i="3"/>
  <c r="E9" i="3"/>
  <c r="F9" i="3"/>
  <c r="G9" i="3"/>
  <c r="C10" i="3"/>
  <c r="E10" i="3"/>
  <c r="F10" i="3"/>
  <c r="G10" i="3"/>
  <c r="E1" i="3" l="1"/>
  <c r="C1" i="3"/>
  <c r="B1" i="3"/>
  <c r="A1" i="3"/>
  <c r="C52" i="1"/>
  <c r="D3" i="1" l="1"/>
  <c r="E3" i="1" s="1"/>
  <c r="D4" i="1"/>
  <c r="E4" i="1" s="1"/>
  <c r="B4" i="3" s="1"/>
  <c r="D5" i="1"/>
  <c r="E5" i="1" s="1"/>
  <c r="D26" i="1"/>
  <c r="E26" i="1" s="1"/>
  <c r="D18" i="1"/>
  <c r="E18" i="1" s="1"/>
  <c r="D10" i="1"/>
  <c r="E10" i="1" s="1"/>
  <c r="D27" i="1"/>
  <c r="E27" i="1" s="1"/>
  <c r="D19" i="1"/>
  <c r="E19" i="1" s="1"/>
  <c r="D11" i="1"/>
  <c r="E11" i="1" s="1"/>
  <c r="D22" i="1"/>
  <c r="E22" i="1" s="1"/>
  <c r="D6" i="1"/>
  <c r="E6" i="1" s="1"/>
  <c r="D15" i="1"/>
  <c r="E15" i="1" s="1"/>
  <c r="D16" i="1"/>
  <c r="E16" i="1" s="1"/>
  <c r="D28" i="1"/>
  <c r="E28" i="1" s="1"/>
  <c r="D20" i="1"/>
  <c r="E20" i="1" s="1"/>
  <c r="D12" i="1"/>
  <c r="E12" i="1" s="1"/>
  <c r="D21" i="1"/>
  <c r="E21" i="1" s="1"/>
  <c r="D13" i="1"/>
  <c r="E13" i="1" s="1"/>
  <c r="D14" i="1"/>
  <c r="E14" i="1" s="1"/>
  <c r="D23" i="1"/>
  <c r="E23" i="1" s="1"/>
  <c r="D7" i="1"/>
  <c r="E7" i="1" s="1"/>
  <c r="D24" i="1"/>
  <c r="E24" i="1" s="1"/>
  <c r="D8" i="1"/>
  <c r="E8" i="1" s="1"/>
  <c r="D25" i="1"/>
  <c r="E25" i="1" s="1"/>
  <c r="D9" i="1"/>
  <c r="E9" i="1" s="1"/>
  <c r="D17" i="1"/>
  <c r="E17" i="1" s="1"/>
  <c r="D30" i="1"/>
  <c r="E30" i="1" s="1"/>
  <c r="D38" i="1"/>
  <c r="E38" i="1" s="1"/>
  <c r="K38" i="1" s="1"/>
  <c r="F38" i="1" s="1"/>
  <c r="D46" i="1"/>
  <c r="E46" i="1" s="1"/>
  <c r="K46" i="1" s="1"/>
  <c r="F46" i="1" s="1"/>
  <c r="D40" i="1"/>
  <c r="E40" i="1" s="1"/>
  <c r="D31" i="1"/>
  <c r="E31" i="1" s="1"/>
  <c r="D39" i="1"/>
  <c r="E39" i="1" s="1"/>
  <c r="K39" i="1" s="1"/>
  <c r="F39" i="1" s="1"/>
  <c r="D47" i="1"/>
  <c r="E47" i="1" s="1"/>
  <c r="D32" i="1"/>
  <c r="E32" i="1" s="1"/>
  <c r="D48" i="1"/>
  <c r="E48" i="1" s="1"/>
  <c r="D45" i="1"/>
  <c r="E45" i="1" s="1"/>
  <c r="D33" i="1"/>
  <c r="E33" i="1" s="1"/>
  <c r="D41" i="1"/>
  <c r="E41" i="1" s="1"/>
  <c r="D49" i="1"/>
  <c r="E49" i="1" s="1"/>
  <c r="D44" i="1"/>
  <c r="E44" i="1" s="1"/>
  <c r="D29" i="1"/>
  <c r="E29" i="1" s="1"/>
  <c r="D37" i="1"/>
  <c r="E37" i="1" s="1"/>
  <c r="D34" i="1"/>
  <c r="E34" i="1" s="1"/>
  <c r="D42" i="1"/>
  <c r="E42" i="1" s="1"/>
  <c r="D50" i="1"/>
  <c r="E50" i="1" s="1"/>
  <c r="D35" i="1"/>
  <c r="E35" i="1" s="1"/>
  <c r="K35" i="1" s="1"/>
  <c r="F35" i="1" s="1"/>
  <c r="D43" i="1"/>
  <c r="E43" i="1" s="1"/>
  <c r="K43" i="1" s="1"/>
  <c r="F43" i="1" s="1"/>
  <c r="D51" i="1"/>
  <c r="E51" i="1" s="1"/>
  <c r="K51" i="1" s="1"/>
  <c r="F51" i="1" s="1"/>
  <c r="D36" i="1"/>
  <c r="E36" i="1" s="1"/>
  <c r="G32" i="3"/>
  <c r="D2" i="1"/>
  <c r="E2" i="1" s="1"/>
  <c r="K4" i="1" l="1"/>
  <c r="F4" i="1" s="1"/>
  <c r="H4" i="1" s="1"/>
  <c r="K3" i="1"/>
  <c r="F3" i="1" s="1"/>
  <c r="H3" i="1" s="1"/>
  <c r="B3" i="3"/>
  <c r="K5" i="1"/>
  <c r="F5" i="1" s="1"/>
  <c r="H5" i="1" s="1"/>
  <c r="D4" i="3"/>
  <c r="K22" i="1"/>
  <c r="F22" i="1" s="1"/>
  <c r="H22" i="1" s="1"/>
  <c r="K24" i="1"/>
  <c r="F24" i="1" s="1"/>
  <c r="H24" i="1" s="1"/>
  <c r="K12" i="1"/>
  <c r="F12" i="1" s="1"/>
  <c r="H12" i="1" s="1"/>
  <c r="K11" i="1"/>
  <c r="F11" i="1" s="1"/>
  <c r="H11" i="1" s="1"/>
  <c r="K25" i="1"/>
  <c r="F25" i="1" s="1"/>
  <c r="H25" i="1" s="1"/>
  <c r="K8" i="1"/>
  <c r="F8" i="1" s="1"/>
  <c r="H8" i="1" s="1"/>
  <c r="K20" i="1"/>
  <c r="F20" i="1" s="1"/>
  <c r="H20" i="1" s="1"/>
  <c r="K23" i="1"/>
  <c r="F23" i="1" s="1"/>
  <c r="H23" i="1" s="1"/>
  <c r="K28" i="1"/>
  <c r="F28" i="1" s="1"/>
  <c r="H28" i="1" s="1"/>
  <c r="K27" i="1"/>
  <c r="F27" i="1" s="1"/>
  <c r="H27" i="1" s="1"/>
  <c r="K21" i="1"/>
  <c r="F21" i="1" s="1"/>
  <c r="H21" i="1" s="1"/>
  <c r="K7" i="1"/>
  <c r="F7" i="1" s="1"/>
  <c r="H7" i="1" s="1"/>
  <c r="K19" i="1"/>
  <c r="F19" i="1" s="1"/>
  <c r="H19" i="1" s="1"/>
  <c r="K14" i="1"/>
  <c r="F14" i="1" s="1"/>
  <c r="H14" i="1" s="1"/>
  <c r="K16" i="1"/>
  <c r="F16" i="1" s="1"/>
  <c r="H16" i="1" s="1"/>
  <c r="K10" i="1"/>
  <c r="F10" i="1" s="1"/>
  <c r="H10" i="1" s="1"/>
  <c r="K17" i="1"/>
  <c r="F17" i="1" s="1"/>
  <c r="H17" i="1" s="1"/>
  <c r="K18" i="1"/>
  <c r="F18" i="1" s="1"/>
  <c r="H18" i="1" s="1"/>
  <c r="K15" i="1"/>
  <c r="F15" i="1" s="1"/>
  <c r="H15" i="1" s="1"/>
  <c r="K9" i="1"/>
  <c r="F9" i="1" s="1"/>
  <c r="H9" i="1" s="1"/>
  <c r="K13" i="1"/>
  <c r="F13" i="1" s="1"/>
  <c r="H13" i="1" s="1"/>
  <c r="K6" i="1"/>
  <c r="F6" i="1" s="1"/>
  <c r="H6" i="1" s="1"/>
  <c r="K26" i="1"/>
  <c r="F26" i="1" s="1"/>
  <c r="H26" i="1" s="1"/>
  <c r="K37" i="1"/>
  <c r="F37" i="1" s="1"/>
  <c r="H37" i="1" s="1"/>
  <c r="B8" i="3"/>
  <c r="B29" i="3"/>
  <c r="K29" i="1"/>
  <c r="F29" i="1" s="1"/>
  <c r="G29" i="1" s="1"/>
  <c r="G38" i="1"/>
  <c r="H38" i="1"/>
  <c r="B22" i="3"/>
  <c r="B28" i="3"/>
  <c r="K33" i="1"/>
  <c r="F33" i="1" s="1"/>
  <c r="H33" i="1" s="1"/>
  <c r="B20" i="3"/>
  <c r="G46" i="1"/>
  <c r="H46" i="1"/>
  <c r="B13" i="3"/>
  <c r="G51" i="1"/>
  <c r="H51" i="1"/>
  <c r="B9" i="3"/>
  <c r="G43" i="1"/>
  <c r="H43" i="1"/>
  <c r="K44" i="1"/>
  <c r="F44" i="1" s="1"/>
  <c r="H44" i="1" s="1"/>
  <c r="G35" i="1"/>
  <c r="H35" i="1"/>
  <c r="B7" i="3"/>
  <c r="B14" i="3"/>
  <c r="G39" i="1"/>
  <c r="H39" i="1"/>
  <c r="K50" i="1"/>
  <c r="F50" i="1" s="1"/>
  <c r="H50" i="1" s="1"/>
  <c r="B31" i="3"/>
  <c r="K31" i="1"/>
  <c r="F31" i="1" s="1"/>
  <c r="G31" i="1" s="1"/>
  <c r="B5" i="3"/>
  <c r="B23" i="3"/>
  <c r="K34" i="1"/>
  <c r="F34" i="1" s="1"/>
  <c r="H34" i="1" s="1"/>
  <c r="K45" i="1"/>
  <c r="F45" i="1" s="1"/>
  <c r="H45" i="1" s="1"/>
  <c r="B15" i="3"/>
  <c r="B21" i="3"/>
  <c r="K32" i="1"/>
  <c r="F32" i="1" s="1"/>
  <c r="H32" i="1" s="1"/>
  <c r="B6" i="3"/>
  <c r="B11" i="3"/>
  <c r="K47" i="1"/>
  <c r="F47" i="1" s="1"/>
  <c r="H47" i="1" s="1"/>
  <c r="B25" i="3"/>
  <c r="B12" i="3"/>
  <c r="B17" i="3"/>
  <c r="K42" i="1"/>
  <c r="F42" i="1" s="1"/>
  <c r="H42" i="1" s="1"/>
  <c r="B30" i="3"/>
  <c r="K30" i="1"/>
  <c r="F30" i="1" s="1"/>
  <c r="G30" i="1" s="1"/>
  <c r="B26" i="3"/>
  <c r="K48" i="1"/>
  <c r="F48" i="1" s="1"/>
  <c r="H48" i="1" s="1"/>
  <c r="B27" i="3"/>
  <c r="B18" i="3"/>
  <c r="K49" i="1"/>
  <c r="F49" i="1" s="1"/>
  <c r="H49" i="1" s="1"/>
  <c r="K40" i="1"/>
  <c r="F40" i="1" s="1"/>
  <c r="H40" i="1" s="1"/>
  <c r="K36" i="1"/>
  <c r="F36" i="1" s="1"/>
  <c r="H36" i="1" s="1"/>
  <c r="B19" i="3"/>
  <c r="B10" i="3"/>
  <c r="K41" i="1"/>
  <c r="F41" i="1" s="1"/>
  <c r="H41" i="1" s="1"/>
  <c r="B16" i="3"/>
  <c r="B24" i="3"/>
  <c r="E52" i="1"/>
  <c r="B32" i="3" s="1"/>
  <c r="B2" i="3"/>
  <c r="K2" i="1"/>
  <c r="F2" i="1" s="1"/>
  <c r="D52" i="1"/>
  <c r="D2" i="3" l="1"/>
  <c r="G3" i="1"/>
  <c r="I3" i="1" s="1"/>
  <c r="G4" i="1"/>
  <c r="I4" i="1" s="1"/>
  <c r="D3" i="3"/>
  <c r="G5" i="1"/>
  <c r="I5" i="1" s="1"/>
  <c r="G7" i="1"/>
  <c r="I7" i="1" s="1"/>
  <c r="G20" i="1"/>
  <c r="I20" i="1" s="1"/>
  <c r="G26" i="1"/>
  <c r="I26" i="1" s="1"/>
  <c r="G6" i="1"/>
  <c r="I6" i="1" s="1"/>
  <c r="G15" i="1"/>
  <c r="I15" i="1" s="1"/>
  <c r="G22" i="1"/>
  <c r="I22" i="1" s="1"/>
  <c r="G49" i="1"/>
  <c r="I49" i="1" s="1"/>
  <c r="G32" i="1"/>
  <c r="I32" i="1" s="1"/>
  <c r="G45" i="1"/>
  <c r="I45" i="1" s="1"/>
  <c r="I46" i="1"/>
  <c r="G40" i="1"/>
  <c r="I40" i="1" s="1"/>
  <c r="G34" i="1"/>
  <c r="I34" i="1" s="1"/>
  <c r="I43" i="1"/>
  <c r="G18" i="1"/>
  <c r="I18" i="1" s="1"/>
  <c r="G10" i="1"/>
  <c r="I10" i="1" s="1"/>
  <c r="G13" i="1"/>
  <c r="I13" i="1" s="1"/>
  <c r="G14" i="1"/>
  <c r="I14" i="1" s="1"/>
  <c r="G21" i="1"/>
  <c r="I21" i="1" s="1"/>
  <c r="G11" i="1"/>
  <c r="I11" i="1" s="1"/>
  <c r="G9" i="1"/>
  <c r="I9" i="1" s="1"/>
  <c r="G17" i="1"/>
  <c r="I17" i="1" s="1"/>
  <c r="G19" i="1"/>
  <c r="I19" i="1" s="1"/>
  <c r="G27" i="1"/>
  <c r="I27" i="1" s="1"/>
  <c r="G12" i="1"/>
  <c r="I12" i="1" s="1"/>
  <c r="G41" i="1"/>
  <c r="I41" i="1" s="1"/>
  <c r="I51" i="1"/>
  <c r="G28" i="1"/>
  <c r="I28" i="1" s="1"/>
  <c r="G8" i="1"/>
  <c r="I8" i="1" s="1"/>
  <c r="G24" i="1"/>
  <c r="I24" i="1" s="1"/>
  <c r="I35" i="1"/>
  <c r="I38" i="1"/>
  <c r="G16" i="1"/>
  <c r="I16" i="1" s="1"/>
  <c r="G23" i="1"/>
  <c r="I23" i="1" s="1"/>
  <c r="G25" i="1"/>
  <c r="I25" i="1" s="1"/>
  <c r="D24" i="3"/>
  <c r="I39" i="1"/>
  <c r="D29" i="3"/>
  <c r="H29" i="1"/>
  <c r="I29" i="1" s="1"/>
  <c r="D19" i="3"/>
  <c r="D26" i="3"/>
  <c r="D9" i="3"/>
  <c r="D28" i="3"/>
  <c r="D16" i="3"/>
  <c r="G36" i="1"/>
  <c r="I36" i="1" s="1"/>
  <c r="D18" i="3"/>
  <c r="G47" i="1"/>
  <c r="I47" i="1" s="1"/>
  <c r="D14" i="3"/>
  <c r="D22" i="3"/>
  <c r="D6" i="3"/>
  <c r="D23" i="3"/>
  <c r="D10" i="3"/>
  <c r="D5" i="3"/>
  <c r="D17" i="3"/>
  <c r="D30" i="3"/>
  <c r="H30" i="1"/>
  <c r="I30" i="1" s="1"/>
  <c r="H31" i="1"/>
  <c r="I31" i="1" s="1"/>
  <c r="D31" i="3"/>
  <c r="D8" i="3"/>
  <c r="D25" i="3"/>
  <c r="D27" i="3"/>
  <c r="D12" i="3"/>
  <c r="D21" i="3"/>
  <c r="G44" i="1"/>
  <c r="I44" i="1" s="1"/>
  <c r="D20" i="3"/>
  <c r="G37" i="1"/>
  <c r="I37" i="1" s="1"/>
  <c r="D15" i="3"/>
  <c r="D13" i="3"/>
  <c r="G48" i="1"/>
  <c r="I48" i="1" s="1"/>
  <c r="G42" i="1"/>
  <c r="I42" i="1" s="1"/>
  <c r="D11" i="3"/>
  <c r="G50" i="1"/>
  <c r="I50" i="1" s="1"/>
  <c r="D7" i="3"/>
  <c r="G33" i="1"/>
  <c r="I33" i="1" s="1"/>
  <c r="G2" i="1"/>
  <c r="K52" i="1" l="1"/>
  <c r="F52" i="1" s="1"/>
  <c r="D32" i="3" s="1"/>
  <c r="H52" i="1" l="1"/>
  <c r="I52" i="1" l="1"/>
  <c r="G52" i="1"/>
</calcChain>
</file>

<file path=xl/sharedStrings.xml><?xml version="1.0" encoding="utf-8"?>
<sst xmlns="http://schemas.openxmlformats.org/spreadsheetml/2006/main" count="22" uniqueCount="21">
  <si>
    <t>Flete BL</t>
  </si>
  <si>
    <t>TOTAL FOB FACTURAS</t>
  </si>
  <si>
    <t>VALOR FACTURA</t>
  </si>
  <si>
    <t>%</t>
  </si>
  <si>
    <t>Valor Flete</t>
  </si>
  <si>
    <t>Valor Prima</t>
  </si>
  <si>
    <t>Cif</t>
  </si>
  <si>
    <t>DERECHOS</t>
  </si>
  <si>
    <t>IVA</t>
  </si>
  <si>
    <t xml:space="preserve">Referencia </t>
  </si>
  <si>
    <t>Monto asegurado</t>
  </si>
  <si>
    <t>Fecha Embarque</t>
  </si>
  <si>
    <t>Despacho</t>
  </si>
  <si>
    <t>Numero Factura</t>
  </si>
  <si>
    <t>54415CLFA/25J09-1</t>
  </si>
  <si>
    <t>BN25157785</t>
  </si>
  <si>
    <t xml:space="preserve"> DERECHOS</t>
  </si>
  <si>
    <t>Totales</t>
  </si>
  <si>
    <t>PRIMA</t>
  </si>
  <si>
    <t xml:space="preserve">Factura </t>
  </si>
  <si>
    <t xml:space="preserve">Monto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</si>
</sst>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indexed="10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222222"/>
      <name val="Trebuchet MS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Fill="0"/>
  </cellStyleXfs>
  <cellXfs count="5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" fontId="0" fillId="0" borderId="4" xfId="0" applyNumberFormat="1" applyBorder="1" applyAlignment="1">
      <alignment horizontal="center"/>
    </xf>
    <xf numFmtId="16" fontId="4" fillId="2" borderId="1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3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4" fontId="5" fillId="0" borderId="0" xfId="0" applyNumberFormat="1" applyFont="1" applyAlignment="1">
      <alignment horizontal="center"/>
    </xf>
    <xf numFmtId="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6" fontId="4" fillId="2" borderId="2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3" fontId="1" fillId="0" borderId="3" xfId="0" applyNumberFormat="1" applyFont="1" applyBorder="1" applyAlignment="1">
      <alignment horizontal="center" wrapText="1"/>
    </xf>
    <xf numFmtId="16" fontId="1" fillId="0" borderId="5" xfId="0" applyNumberFormat="1" applyFont="1" applyBorder="1" applyAlignment="1">
      <alignment horizontal="center" wrapText="1"/>
    </xf>
    <xf numFmtId="4" fontId="6" fillId="0" borderId="3" xfId="0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3" borderId="13" xfId="0" applyFont="1" applyFill="1" applyBorder="1" applyAlignment="1">
      <alignment horizontal="center"/>
    </xf>
  </cellXfs>
  <cellStyles count="2">
    <cellStyle name="Normal" xfId="0" builtinId="0"/>
    <cellStyle name="Normal 106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  <wetp:taskpane dockstate="right" visibility="0" width="792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EC493CB-62FA-4D6A-A7FB-72804DA573A3}">
  <we:reference id="wa200007447" version="1.1.6.7" store="es-ES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B855264-4DFC-4F7D-8ED6-7A646169C22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bf81ae5-5bb3-459b-b59a-1c873f27d50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zoomScale="85" zoomScaleNormal="85" workbookViewId="0">
      <selection activeCell="H4" sqref="H4"/>
    </sheetView>
  </sheetViews>
  <sheetFormatPr baseColWidth="10" defaultColWidth="11.3984375" defaultRowHeight="14.25" x14ac:dyDescent="0.45"/>
  <cols>
    <col min="1" max="1" width="10.86328125" style="4" bestFit="1" customWidth="1"/>
    <col min="2" max="2" width="10.59765625" style="4" bestFit="1" customWidth="1"/>
    <col min="3" max="3" width="12.1328125" style="4" customWidth="1"/>
    <col min="4" max="4" width="8.1328125" style="4" bestFit="1" customWidth="1"/>
    <col min="5" max="5" width="11.3984375" style="4" bestFit="1" customWidth="1"/>
    <col min="6" max="6" width="11.265625" style="4" bestFit="1" customWidth="1"/>
    <col min="7" max="7" width="11.73046875" style="4" bestFit="1" customWidth="1"/>
    <col min="8" max="8" width="10.3984375" style="4" bestFit="1" customWidth="1"/>
    <col min="9" max="9" width="10" style="4" customWidth="1"/>
    <col min="10" max="10" width="18.86328125" style="4" bestFit="1" customWidth="1"/>
    <col min="11" max="11" width="10.86328125" style="13" customWidth="1"/>
    <col min="12" max="12" width="10" style="12" hidden="1" customWidth="1"/>
    <col min="13" max="13" width="11.265625" style="4" bestFit="1" customWidth="1"/>
    <col min="14" max="14" width="22.1328125" style="4" bestFit="1" customWidth="1"/>
    <col min="15" max="16384" width="11.3984375" style="4"/>
  </cols>
  <sheetData>
    <row r="1" spans="1:14" ht="34.5" customHeight="1" x14ac:dyDescent="0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32" t="s">
        <v>10</v>
      </c>
      <c r="L1" s="33" t="s">
        <v>11</v>
      </c>
      <c r="M1" s="31" t="s">
        <v>12</v>
      </c>
      <c r="N1" s="15" t="s">
        <v>13</v>
      </c>
    </row>
    <row r="2" spans="1:14" x14ac:dyDescent="0.45">
      <c r="A2" s="47">
        <v>2000</v>
      </c>
      <c r="B2" s="28">
        <v>0</v>
      </c>
      <c r="C2" s="46">
        <v>39960</v>
      </c>
      <c r="D2" s="29">
        <f t="shared" ref="D2:D51" si="0">+C2/$C$52</f>
        <v>1</v>
      </c>
      <c r="E2" s="26">
        <f>+$A$2*D2</f>
        <v>2000</v>
      </c>
      <c r="F2" s="27">
        <f>+K2*0.05776%</f>
        <v>27.871510399999995</v>
      </c>
      <c r="G2" s="26">
        <f>(C2+E2+F2)</f>
        <v>41987.8715104</v>
      </c>
      <c r="H2" s="27">
        <f>+(F2+E2+C2)*$B$7</f>
        <v>2519.2722906240001</v>
      </c>
      <c r="I2" s="26">
        <f>(G2+H2)*19%</f>
        <v>8456.3573221945608</v>
      </c>
      <c r="J2" s="49" t="s">
        <v>14</v>
      </c>
      <c r="K2" s="39">
        <f>+(E2+C2)*1.15</f>
        <v>48253.999999999993</v>
      </c>
      <c r="L2" s="30">
        <v>45441</v>
      </c>
      <c r="M2" s="48">
        <v>700603</v>
      </c>
      <c r="N2" s="46" t="s">
        <v>15</v>
      </c>
    </row>
    <row r="3" spans="1:14" x14ac:dyDescent="0.45">
      <c r="A3" s="34"/>
      <c r="C3" s="5">
        <v>0</v>
      </c>
      <c r="D3" s="29">
        <f t="shared" ref="D3:D4" si="1">+C3/$C$52</f>
        <v>0</v>
      </c>
      <c r="E3" s="26">
        <f t="shared" ref="E3:E4" si="2">+$A$2*D3</f>
        <v>0</v>
      </c>
      <c r="F3" s="27">
        <f t="shared" ref="F3:F4" si="3">+K3*0.05776%</f>
        <v>0</v>
      </c>
      <c r="G3" s="26">
        <f t="shared" ref="G3:G4" si="4">(C3+E3+F3)</f>
        <v>0</v>
      </c>
      <c r="H3" s="27">
        <f t="shared" ref="H3:H4" si="5">+(F3+E3+C3)*$B$7</f>
        <v>0</v>
      </c>
      <c r="I3" s="26">
        <f t="shared" ref="I3:I4" si="6">(G3+H3)*19%</f>
        <v>0</v>
      </c>
      <c r="J3" s="3">
        <v>0</v>
      </c>
      <c r="K3" s="39">
        <f t="shared" ref="K3:K4" si="7">+(E3+C3)*1.15</f>
        <v>0</v>
      </c>
      <c r="L3" s="6">
        <v>0</v>
      </c>
      <c r="M3" s="1">
        <v>0</v>
      </c>
      <c r="N3" s="2">
        <v>0</v>
      </c>
    </row>
    <row r="4" spans="1:14" ht="14.65" thickBot="1" x14ac:dyDescent="0.5">
      <c r="C4" s="5">
        <v>0</v>
      </c>
      <c r="D4" s="29">
        <f t="shared" si="1"/>
        <v>0</v>
      </c>
      <c r="E4" s="26">
        <f t="shared" si="2"/>
        <v>0</v>
      </c>
      <c r="F4" s="27">
        <f t="shared" si="3"/>
        <v>0</v>
      </c>
      <c r="G4" s="26">
        <f t="shared" si="4"/>
        <v>0</v>
      </c>
      <c r="H4" s="27">
        <f t="shared" si="5"/>
        <v>0</v>
      </c>
      <c r="I4" s="26">
        <f t="shared" si="6"/>
        <v>0</v>
      </c>
      <c r="J4" s="3">
        <v>0</v>
      </c>
      <c r="K4" s="39">
        <f t="shared" si="7"/>
        <v>0</v>
      </c>
      <c r="L4" s="6">
        <v>0</v>
      </c>
      <c r="M4" s="1">
        <v>0</v>
      </c>
      <c r="N4" s="2">
        <v>0</v>
      </c>
    </row>
    <row r="5" spans="1:14" ht="14.65" thickBot="1" x14ac:dyDescent="0.5">
      <c r="A5" s="7" t="s">
        <v>3</v>
      </c>
      <c r="B5" s="8">
        <v>0</v>
      </c>
      <c r="C5" s="5">
        <v>0</v>
      </c>
      <c r="D5" s="29">
        <f t="shared" si="0"/>
        <v>0</v>
      </c>
      <c r="E5" s="26">
        <f t="shared" ref="E5" si="8">+$A$2*D5</f>
        <v>0</v>
      </c>
      <c r="F5" s="27">
        <f t="shared" ref="F5" si="9">+K5*0.05776%</f>
        <v>0</v>
      </c>
      <c r="G5" s="26">
        <f t="shared" ref="G5" si="10">(C5+E5+F5)</f>
        <v>0</v>
      </c>
      <c r="H5" s="27">
        <f t="shared" ref="H5" si="11">+(F5+E5+C5)*$B$7</f>
        <v>0</v>
      </c>
      <c r="I5" s="26">
        <f t="shared" ref="I5" si="12">(G5+H5)*19%</f>
        <v>0</v>
      </c>
      <c r="J5" s="3">
        <v>0</v>
      </c>
      <c r="K5" s="39">
        <f t="shared" ref="K5" si="13">+(E5+C5)*1.15</f>
        <v>0</v>
      </c>
      <c r="L5" s="6">
        <v>0</v>
      </c>
      <c r="M5" s="1">
        <v>0</v>
      </c>
      <c r="N5" s="2">
        <v>0</v>
      </c>
    </row>
    <row r="6" spans="1:14" ht="14.65" thickBot="1" x14ac:dyDescent="0.5">
      <c r="C6" s="5">
        <v>0</v>
      </c>
      <c r="D6" s="29">
        <f t="shared" ref="D6:D28" si="14">+C6/$C$52</f>
        <v>0</v>
      </c>
      <c r="E6" s="26">
        <f t="shared" ref="E6:E51" si="15">+$A$2*D6</f>
        <v>0</v>
      </c>
      <c r="F6" s="27">
        <f t="shared" ref="F6:F28" si="16">+K6*0.05776%</f>
        <v>0</v>
      </c>
      <c r="G6" s="26">
        <f t="shared" ref="G6:G28" si="17">(C6+E6+F6)</f>
        <v>0</v>
      </c>
      <c r="H6" s="27">
        <f t="shared" ref="H6:H28" si="18">+(F6+E6+C6)*$B$7</f>
        <v>0</v>
      </c>
      <c r="I6" s="26">
        <f t="shared" ref="I6:I28" si="19">(G6+H6)*19%</f>
        <v>0</v>
      </c>
      <c r="J6" s="3">
        <v>0</v>
      </c>
      <c r="K6" s="39">
        <f t="shared" ref="K6:K28" si="20">+(E6+C6)*1.15</f>
        <v>0</v>
      </c>
      <c r="L6" s="6">
        <v>0</v>
      </c>
      <c r="M6" s="1">
        <v>0</v>
      </c>
      <c r="N6" s="2">
        <v>0</v>
      </c>
    </row>
    <row r="7" spans="1:14" ht="14.65" thickBot="1" x14ac:dyDescent="0.5">
      <c r="A7" s="9" t="s">
        <v>16</v>
      </c>
      <c r="B7" s="10">
        <v>0.06</v>
      </c>
      <c r="C7" s="5">
        <v>0</v>
      </c>
      <c r="D7" s="29">
        <f t="shared" si="14"/>
        <v>0</v>
      </c>
      <c r="E7" s="26">
        <f t="shared" si="15"/>
        <v>0</v>
      </c>
      <c r="F7" s="27">
        <f t="shared" si="16"/>
        <v>0</v>
      </c>
      <c r="G7" s="26">
        <f t="shared" si="17"/>
        <v>0</v>
      </c>
      <c r="H7" s="27">
        <f t="shared" si="18"/>
        <v>0</v>
      </c>
      <c r="I7" s="26">
        <f t="shared" si="19"/>
        <v>0</v>
      </c>
      <c r="J7" s="3">
        <v>0</v>
      </c>
      <c r="K7" s="39">
        <f t="shared" si="20"/>
        <v>0</v>
      </c>
      <c r="L7" s="6">
        <v>0</v>
      </c>
      <c r="M7" s="1">
        <v>0</v>
      </c>
      <c r="N7" s="2">
        <v>0</v>
      </c>
    </row>
    <row r="8" spans="1:14" x14ac:dyDescent="0.45">
      <c r="C8" s="5">
        <v>0</v>
      </c>
      <c r="D8" s="29">
        <f t="shared" si="14"/>
        <v>0</v>
      </c>
      <c r="E8" s="26">
        <f t="shared" si="15"/>
        <v>0</v>
      </c>
      <c r="F8" s="27">
        <f t="shared" si="16"/>
        <v>0</v>
      </c>
      <c r="G8" s="26">
        <f t="shared" si="17"/>
        <v>0</v>
      </c>
      <c r="H8" s="27">
        <f t="shared" si="18"/>
        <v>0</v>
      </c>
      <c r="I8" s="26">
        <f t="shared" si="19"/>
        <v>0</v>
      </c>
      <c r="J8" s="3">
        <v>0</v>
      </c>
      <c r="K8" s="39">
        <f t="shared" si="20"/>
        <v>0</v>
      </c>
      <c r="L8" s="6">
        <v>0</v>
      </c>
      <c r="M8" s="1">
        <v>0</v>
      </c>
      <c r="N8" s="2">
        <v>0</v>
      </c>
    </row>
    <row r="9" spans="1:14" x14ac:dyDescent="0.45">
      <c r="A9" s="11"/>
      <c r="C9" s="5">
        <v>0</v>
      </c>
      <c r="D9" s="29">
        <f t="shared" si="14"/>
        <v>0</v>
      </c>
      <c r="E9" s="26">
        <f t="shared" si="15"/>
        <v>0</v>
      </c>
      <c r="F9" s="27">
        <f t="shared" si="16"/>
        <v>0</v>
      </c>
      <c r="G9" s="26">
        <f t="shared" si="17"/>
        <v>0</v>
      </c>
      <c r="H9" s="27">
        <f t="shared" si="18"/>
        <v>0</v>
      </c>
      <c r="I9" s="26">
        <f t="shared" si="19"/>
        <v>0</v>
      </c>
      <c r="J9" s="3">
        <v>0</v>
      </c>
      <c r="K9" s="39">
        <f t="shared" si="20"/>
        <v>0</v>
      </c>
      <c r="L9" s="6">
        <v>0</v>
      </c>
      <c r="M9" s="1">
        <v>0</v>
      </c>
      <c r="N9" s="2">
        <v>0</v>
      </c>
    </row>
    <row r="10" spans="1:14" x14ac:dyDescent="0.45">
      <c r="A10" s="11"/>
      <c r="C10" s="5">
        <v>0</v>
      </c>
      <c r="D10" s="29">
        <f t="shared" si="14"/>
        <v>0</v>
      </c>
      <c r="E10" s="26">
        <f t="shared" si="15"/>
        <v>0</v>
      </c>
      <c r="F10" s="27">
        <f t="shared" si="16"/>
        <v>0</v>
      </c>
      <c r="G10" s="26">
        <f t="shared" si="17"/>
        <v>0</v>
      </c>
      <c r="H10" s="27">
        <f t="shared" si="18"/>
        <v>0</v>
      </c>
      <c r="I10" s="26">
        <f t="shared" si="19"/>
        <v>0</v>
      </c>
      <c r="J10" s="3">
        <v>0</v>
      </c>
      <c r="K10" s="39">
        <f t="shared" si="20"/>
        <v>0</v>
      </c>
      <c r="L10" s="6">
        <v>0</v>
      </c>
      <c r="M10" s="1">
        <v>0</v>
      </c>
      <c r="N10" s="2">
        <v>0</v>
      </c>
    </row>
    <row r="11" spans="1:14" x14ac:dyDescent="0.45">
      <c r="A11" s="11"/>
      <c r="C11" s="5">
        <v>0</v>
      </c>
      <c r="D11" s="29">
        <f t="shared" si="14"/>
        <v>0</v>
      </c>
      <c r="E11" s="26">
        <f t="shared" si="15"/>
        <v>0</v>
      </c>
      <c r="F11" s="27">
        <f t="shared" si="16"/>
        <v>0</v>
      </c>
      <c r="G11" s="26">
        <f t="shared" si="17"/>
        <v>0</v>
      </c>
      <c r="H11" s="27">
        <f t="shared" si="18"/>
        <v>0</v>
      </c>
      <c r="I11" s="26">
        <f t="shared" si="19"/>
        <v>0</v>
      </c>
      <c r="J11" s="3">
        <v>0</v>
      </c>
      <c r="K11" s="39">
        <f t="shared" si="20"/>
        <v>0</v>
      </c>
      <c r="L11" s="6">
        <v>0</v>
      </c>
      <c r="M11" s="1">
        <v>0</v>
      </c>
      <c r="N11" s="2">
        <v>0</v>
      </c>
    </row>
    <row r="12" spans="1:14" x14ac:dyDescent="0.45">
      <c r="A12" s="11"/>
      <c r="C12" s="5">
        <v>0</v>
      </c>
      <c r="D12" s="29">
        <f t="shared" si="14"/>
        <v>0</v>
      </c>
      <c r="E12" s="26">
        <f t="shared" si="15"/>
        <v>0</v>
      </c>
      <c r="F12" s="27">
        <f t="shared" si="16"/>
        <v>0</v>
      </c>
      <c r="G12" s="26">
        <f t="shared" si="17"/>
        <v>0</v>
      </c>
      <c r="H12" s="27">
        <f t="shared" si="18"/>
        <v>0</v>
      </c>
      <c r="I12" s="26">
        <f t="shared" si="19"/>
        <v>0</v>
      </c>
      <c r="J12" s="3">
        <v>0</v>
      </c>
      <c r="K12" s="39">
        <f t="shared" si="20"/>
        <v>0</v>
      </c>
      <c r="L12" s="6">
        <v>0</v>
      </c>
      <c r="M12" s="1">
        <v>0</v>
      </c>
      <c r="N12" s="2">
        <v>0</v>
      </c>
    </row>
    <row r="13" spans="1:14" x14ac:dyDescent="0.45">
      <c r="A13" s="11"/>
      <c r="C13" s="5">
        <v>0</v>
      </c>
      <c r="D13" s="29">
        <f t="shared" si="14"/>
        <v>0</v>
      </c>
      <c r="E13" s="26">
        <f t="shared" si="15"/>
        <v>0</v>
      </c>
      <c r="F13" s="27">
        <f t="shared" si="16"/>
        <v>0</v>
      </c>
      <c r="G13" s="26">
        <f t="shared" si="17"/>
        <v>0</v>
      </c>
      <c r="H13" s="27">
        <f t="shared" si="18"/>
        <v>0</v>
      </c>
      <c r="I13" s="26">
        <f t="shared" si="19"/>
        <v>0</v>
      </c>
      <c r="J13" s="3">
        <v>0</v>
      </c>
      <c r="K13" s="39">
        <f t="shared" si="20"/>
        <v>0</v>
      </c>
      <c r="L13" s="6">
        <v>0</v>
      </c>
      <c r="M13" s="1">
        <v>0</v>
      </c>
      <c r="N13" s="2">
        <v>0</v>
      </c>
    </row>
    <row r="14" spans="1:14" x14ac:dyDescent="0.45">
      <c r="A14" s="11"/>
      <c r="C14" s="5">
        <v>0</v>
      </c>
      <c r="D14" s="29">
        <f t="shared" si="14"/>
        <v>0</v>
      </c>
      <c r="E14" s="26">
        <f t="shared" si="15"/>
        <v>0</v>
      </c>
      <c r="F14" s="27">
        <f t="shared" si="16"/>
        <v>0</v>
      </c>
      <c r="G14" s="26">
        <f t="shared" si="17"/>
        <v>0</v>
      </c>
      <c r="H14" s="27">
        <f t="shared" si="18"/>
        <v>0</v>
      </c>
      <c r="I14" s="26">
        <f t="shared" si="19"/>
        <v>0</v>
      </c>
      <c r="J14" s="3">
        <v>0</v>
      </c>
      <c r="K14" s="39">
        <f t="shared" si="20"/>
        <v>0</v>
      </c>
      <c r="L14" s="6">
        <v>0</v>
      </c>
      <c r="M14" s="1">
        <v>0</v>
      </c>
      <c r="N14" s="2">
        <v>0</v>
      </c>
    </row>
    <row r="15" spans="1:14" x14ac:dyDescent="0.45">
      <c r="A15" s="11"/>
      <c r="C15" s="5">
        <v>0</v>
      </c>
      <c r="D15" s="29">
        <f t="shared" si="14"/>
        <v>0</v>
      </c>
      <c r="E15" s="26">
        <f t="shared" si="15"/>
        <v>0</v>
      </c>
      <c r="F15" s="27">
        <f t="shared" si="16"/>
        <v>0</v>
      </c>
      <c r="G15" s="26">
        <f t="shared" si="17"/>
        <v>0</v>
      </c>
      <c r="H15" s="27">
        <f t="shared" si="18"/>
        <v>0</v>
      </c>
      <c r="I15" s="26">
        <f t="shared" si="19"/>
        <v>0</v>
      </c>
      <c r="J15" s="3">
        <v>0</v>
      </c>
      <c r="K15" s="39">
        <f t="shared" si="20"/>
        <v>0</v>
      </c>
      <c r="L15" s="6">
        <v>0</v>
      </c>
      <c r="M15" s="1">
        <v>0</v>
      </c>
      <c r="N15" s="2">
        <v>0</v>
      </c>
    </row>
    <row r="16" spans="1:14" x14ac:dyDescent="0.45">
      <c r="A16" s="11"/>
      <c r="C16" s="5">
        <v>0</v>
      </c>
      <c r="D16" s="29">
        <f t="shared" si="14"/>
        <v>0</v>
      </c>
      <c r="E16" s="26">
        <f t="shared" si="15"/>
        <v>0</v>
      </c>
      <c r="F16" s="27">
        <f t="shared" si="16"/>
        <v>0</v>
      </c>
      <c r="G16" s="26">
        <f t="shared" si="17"/>
        <v>0</v>
      </c>
      <c r="H16" s="27">
        <f t="shared" si="18"/>
        <v>0</v>
      </c>
      <c r="I16" s="26">
        <f t="shared" si="19"/>
        <v>0</v>
      </c>
      <c r="J16" s="3">
        <v>0</v>
      </c>
      <c r="K16" s="39">
        <f t="shared" si="20"/>
        <v>0</v>
      </c>
      <c r="L16" s="6">
        <v>0</v>
      </c>
      <c r="M16" s="1">
        <v>0</v>
      </c>
      <c r="N16" s="2">
        <v>0</v>
      </c>
    </row>
    <row r="17" spans="1:14" x14ac:dyDescent="0.45">
      <c r="A17" s="11"/>
      <c r="C17" s="5">
        <v>0</v>
      </c>
      <c r="D17" s="29">
        <f t="shared" si="14"/>
        <v>0</v>
      </c>
      <c r="E17" s="26">
        <f t="shared" si="15"/>
        <v>0</v>
      </c>
      <c r="F17" s="27">
        <f t="shared" si="16"/>
        <v>0</v>
      </c>
      <c r="G17" s="26">
        <f t="shared" si="17"/>
        <v>0</v>
      </c>
      <c r="H17" s="27">
        <f t="shared" si="18"/>
        <v>0</v>
      </c>
      <c r="I17" s="26">
        <f t="shared" si="19"/>
        <v>0</v>
      </c>
      <c r="J17" s="3">
        <v>0</v>
      </c>
      <c r="K17" s="39">
        <f t="shared" si="20"/>
        <v>0</v>
      </c>
      <c r="L17" s="6">
        <v>0</v>
      </c>
      <c r="M17" s="1">
        <v>0</v>
      </c>
      <c r="N17" s="2">
        <v>0</v>
      </c>
    </row>
    <row r="18" spans="1:14" x14ac:dyDescent="0.45">
      <c r="A18" s="11"/>
      <c r="C18" s="5">
        <v>0</v>
      </c>
      <c r="D18" s="29">
        <f t="shared" si="14"/>
        <v>0</v>
      </c>
      <c r="E18" s="26">
        <f t="shared" si="15"/>
        <v>0</v>
      </c>
      <c r="F18" s="27">
        <f t="shared" si="16"/>
        <v>0</v>
      </c>
      <c r="G18" s="26">
        <f t="shared" si="17"/>
        <v>0</v>
      </c>
      <c r="H18" s="27">
        <f t="shared" si="18"/>
        <v>0</v>
      </c>
      <c r="I18" s="26">
        <f t="shared" si="19"/>
        <v>0</v>
      </c>
      <c r="J18" s="3">
        <v>0</v>
      </c>
      <c r="K18" s="39">
        <f t="shared" si="20"/>
        <v>0</v>
      </c>
      <c r="L18" s="6">
        <v>0</v>
      </c>
      <c r="M18" s="1">
        <v>0</v>
      </c>
      <c r="N18" s="2">
        <v>0</v>
      </c>
    </row>
    <row r="19" spans="1:14" x14ac:dyDescent="0.45">
      <c r="A19" s="11"/>
      <c r="C19" s="5">
        <v>0</v>
      </c>
      <c r="D19" s="29">
        <f t="shared" si="14"/>
        <v>0</v>
      </c>
      <c r="E19" s="26">
        <f t="shared" si="15"/>
        <v>0</v>
      </c>
      <c r="F19" s="27">
        <f t="shared" si="16"/>
        <v>0</v>
      </c>
      <c r="G19" s="26">
        <f t="shared" si="17"/>
        <v>0</v>
      </c>
      <c r="H19" s="27">
        <f t="shared" si="18"/>
        <v>0</v>
      </c>
      <c r="I19" s="26">
        <f t="shared" si="19"/>
        <v>0</v>
      </c>
      <c r="J19" s="3">
        <v>0</v>
      </c>
      <c r="K19" s="39">
        <f t="shared" si="20"/>
        <v>0</v>
      </c>
      <c r="L19" s="6">
        <v>0</v>
      </c>
      <c r="M19" s="1">
        <v>0</v>
      </c>
      <c r="N19" s="2">
        <v>0</v>
      </c>
    </row>
    <row r="20" spans="1:14" x14ac:dyDescent="0.45">
      <c r="A20" s="11"/>
      <c r="C20" s="5">
        <v>0</v>
      </c>
      <c r="D20" s="29">
        <f t="shared" si="14"/>
        <v>0</v>
      </c>
      <c r="E20" s="26">
        <f t="shared" si="15"/>
        <v>0</v>
      </c>
      <c r="F20" s="27">
        <f t="shared" si="16"/>
        <v>0</v>
      </c>
      <c r="G20" s="26">
        <f t="shared" si="17"/>
        <v>0</v>
      </c>
      <c r="H20" s="27">
        <f t="shared" si="18"/>
        <v>0</v>
      </c>
      <c r="I20" s="26">
        <f t="shared" si="19"/>
        <v>0</v>
      </c>
      <c r="J20" s="3">
        <v>0</v>
      </c>
      <c r="K20" s="39">
        <f t="shared" si="20"/>
        <v>0</v>
      </c>
      <c r="L20" s="6">
        <v>0</v>
      </c>
      <c r="M20" s="1">
        <v>0</v>
      </c>
      <c r="N20" s="2">
        <v>0</v>
      </c>
    </row>
    <row r="21" spans="1:14" x14ac:dyDescent="0.45">
      <c r="A21" s="11"/>
      <c r="C21" s="5">
        <v>0</v>
      </c>
      <c r="D21" s="29">
        <f t="shared" si="14"/>
        <v>0</v>
      </c>
      <c r="E21" s="26">
        <f t="shared" si="15"/>
        <v>0</v>
      </c>
      <c r="F21" s="27">
        <f t="shared" si="16"/>
        <v>0</v>
      </c>
      <c r="G21" s="26">
        <f t="shared" si="17"/>
        <v>0</v>
      </c>
      <c r="H21" s="27">
        <f t="shared" si="18"/>
        <v>0</v>
      </c>
      <c r="I21" s="26">
        <f t="shared" si="19"/>
        <v>0</v>
      </c>
      <c r="J21" s="3">
        <v>0</v>
      </c>
      <c r="K21" s="39">
        <f t="shared" si="20"/>
        <v>0</v>
      </c>
      <c r="L21" s="6">
        <v>0</v>
      </c>
      <c r="M21" s="1">
        <v>0</v>
      </c>
      <c r="N21" s="2">
        <v>0</v>
      </c>
    </row>
    <row r="22" spans="1:14" x14ac:dyDescent="0.45">
      <c r="A22" s="11"/>
      <c r="C22" s="5">
        <v>0</v>
      </c>
      <c r="D22" s="29">
        <f t="shared" si="14"/>
        <v>0</v>
      </c>
      <c r="E22" s="26">
        <f t="shared" si="15"/>
        <v>0</v>
      </c>
      <c r="F22" s="27">
        <f t="shared" si="16"/>
        <v>0</v>
      </c>
      <c r="G22" s="26">
        <f t="shared" si="17"/>
        <v>0</v>
      </c>
      <c r="H22" s="27">
        <f t="shared" si="18"/>
        <v>0</v>
      </c>
      <c r="I22" s="26">
        <f t="shared" si="19"/>
        <v>0</v>
      </c>
      <c r="J22" s="3">
        <v>0</v>
      </c>
      <c r="K22" s="39">
        <f t="shared" si="20"/>
        <v>0</v>
      </c>
      <c r="L22" s="6">
        <v>0</v>
      </c>
      <c r="M22" s="1">
        <v>0</v>
      </c>
      <c r="N22" s="2">
        <v>0</v>
      </c>
    </row>
    <row r="23" spans="1:14" x14ac:dyDescent="0.45">
      <c r="A23" s="11"/>
      <c r="C23" s="5">
        <v>0</v>
      </c>
      <c r="D23" s="29">
        <f t="shared" si="14"/>
        <v>0</v>
      </c>
      <c r="E23" s="26">
        <f t="shared" si="15"/>
        <v>0</v>
      </c>
      <c r="F23" s="27">
        <f t="shared" si="16"/>
        <v>0</v>
      </c>
      <c r="G23" s="26">
        <f t="shared" si="17"/>
        <v>0</v>
      </c>
      <c r="H23" s="27">
        <f t="shared" si="18"/>
        <v>0</v>
      </c>
      <c r="I23" s="26">
        <f t="shared" si="19"/>
        <v>0</v>
      </c>
      <c r="J23" s="3">
        <v>0</v>
      </c>
      <c r="K23" s="39">
        <f t="shared" si="20"/>
        <v>0</v>
      </c>
      <c r="L23" s="6">
        <v>0</v>
      </c>
      <c r="M23" s="1">
        <v>0</v>
      </c>
      <c r="N23" s="2">
        <v>0</v>
      </c>
    </row>
    <row r="24" spans="1:14" x14ac:dyDescent="0.45">
      <c r="A24" s="11"/>
      <c r="C24" s="5">
        <v>0</v>
      </c>
      <c r="D24" s="29">
        <f t="shared" si="14"/>
        <v>0</v>
      </c>
      <c r="E24" s="26">
        <f t="shared" si="15"/>
        <v>0</v>
      </c>
      <c r="F24" s="27">
        <f t="shared" si="16"/>
        <v>0</v>
      </c>
      <c r="G24" s="26">
        <f t="shared" si="17"/>
        <v>0</v>
      </c>
      <c r="H24" s="27">
        <f t="shared" si="18"/>
        <v>0</v>
      </c>
      <c r="I24" s="26">
        <f t="shared" si="19"/>
        <v>0</v>
      </c>
      <c r="J24" s="3">
        <v>0</v>
      </c>
      <c r="K24" s="39">
        <f t="shared" si="20"/>
        <v>0</v>
      </c>
      <c r="L24" s="6">
        <v>0</v>
      </c>
      <c r="M24" s="1">
        <v>0</v>
      </c>
      <c r="N24" s="2">
        <v>0</v>
      </c>
    </row>
    <row r="25" spans="1:14" x14ac:dyDescent="0.45">
      <c r="A25" s="11"/>
      <c r="C25" s="5">
        <v>0</v>
      </c>
      <c r="D25" s="29">
        <f t="shared" si="14"/>
        <v>0</v>
      </c>
      <c r="E25" s="26">
        <f t="shared" si="15"/>
        <v>0</v>
      </c>
      <c r="F25" s="27">
        <f t="shared" si="16"/>
        <v>0</v>
      </c>
      <c r="G25" s="26">
        <f t="shared" si="17"/>
        <v>0</v>
      </c>
      <c r="H25" s="27">
        <f t="shared" si="18"/>
        <v>0</v>
      </c>
      <c r="I25" s="26">
        <f t="shared" si="19"/>
        <v>0</v>
      </c>
      <c r="J25" s="3">
        <v>0</v>
      </c>
      <c r="K25" s="39">
        <f t="shared" si="20"/>
        <v>0</v>
      </c>
      <c r="L25" s="6">
        <v>0</v>
      </c>
      <c r="M25" s="1">
        <v>0</v>
      </c>
      <c r="N25" s="2">
        <v>0</v>
      </c>
    </row>
    <row r="26" spans="1:14" x14ac:dyDescent="0.45">
      <c r="A26" s="11"/>
      <c r="C26" s="5">
        <v>0</v>
      </c>
      <c r="D26" s="29">
        <f t="shared" si="14"/>
        <v>0</v>
      </c>
      <c r="E26" s="26">
        <f t="shared" si="15"/>
        <v>0</v>
      </c>
      <c r="F26" s="27">
        <f t="shared" si="16"/>
        <v>0</v>
      </c>
      <c r="G26" s="26">
        <f t="shared" si="17"/>
        <v>0</v>
      </c>
      <c r="H26" s="27">
        <f t="shared" si="18"/>
        <v>0</v>
      </c>
      <c r="I26" s="26">
        <f t="shared" si="19"/>
        <v>0</v>
      </c>
      <c r="J26" s="3">
        <v>0</v>
      </c>
      <c r="K26" s="39">
        <f t="shared" si="20"/>
        <v>0</v>
      </c>
      <c r="L26" s="6">
        <v>0</v>
      </c>
      <c r="M26" s="1">
        <v>0</v>
      </c>
      <c r="N26" s="2">
        <v>0</v>
      </c>
    </row>
    <row r="27" spans="1:14" x14ac:dyDescent="0.45">
      <c r="A27" s="11"/>
      <c r="C27" s="5">
        <v>0</v>
      </c>
      <c r="D27" s="29">
        <f t="shared" si="14"/>
        <v>0</v>
      </c>
      <c r="E27" s="26">
        <f t="shared" si="15"/>
        <v>0</v>
      </c>
      <c r="F27" s="27">
        <f t="shared" si="16"/>
        <v>0</v>
      </c>
      <c r="G27" s="26">
        <f t="shared" si="17"/>
        <v>0</v>
      </c>
      <c r="H27" s="27">
        <f t="shared" si="18"/>
        <v>0</v>
      </c>
      <c r="I27" s="26">
        <f t="shared" si="19"/>
        <v>0</v>
      </c>
      <c r="J27" s="3">
        <v>0</v>
      </c>
      <c r="K27" s="39">
        <f t="shared" si="20"/>
        <v>0</v>
      </c>
      <c r="L27" s="6">
        <v>0</v>
      </c>
      <c r="M27" s="1">
        <v>0</v>
      </c>
      <c r="N27" s="2">
        <v>0</v>
      </c>
    </row>
    <row r="28" spans="1:14" x14ac:dyDescent="0.45">
      <c r="A28" s="11"/>
      <c r="C28" s="5">
        <v>0</v>
      </c>
      <c r="D28" s="29">
        <f t="shared" si="14"/>
        <v>0</v>
      </c>
      <c r="E28" s="26">
        <f t="shared" si="15"/>
        <v>0</v>
      </c>
      <c r="F28" s="27">
        <f t="shared" si="16"/>
        <v>0</v>
      </c>
      <c r="G28" s="26">
        <f t="shared" si="17"/>
        <v>0</v>
      </c>
      <c r="H28" s="27">
        <f t="shared" si="18"/>
        <v>0</v>
      </c>
      <c r="I28" s="26">
        <f t="shared" si="19"/>
        <v>0</v>
      </c>
      <c r="J28" s="3">
        <v>0</v>
      </c>
      <c r="K28" s="39">
        <f t="shared" si="20"/>
        <v>0</v>
      </c>
      <c r="L28" s="6">
        <v>0</v>
      </c>
      <c r="M28" s="1">
        <v>0</v>
      </c>
      <c r="N28" s="2">
        <v>0</v>
      </c>
    </row>
    <row r="29" spans="1:14" x14ac:dyDescent="0.45">
      <c r="A29" s="11"/>
      <c r="C29" s="5">
        <v>0</v>
      </c>
      <c r="D29" s="29">
        <f t="shared" si="0"/>
        <v>0</v>
      </c>
      <c r="E29" s="26">
        <f t="shared" si="15"/>
        <v>0</v>
      </c>
      <c r="F29" s="27">
        <f t="shared" ref="F29:F51" si="21">+K29*0.05776%</f>
        <v>0</v>
      </c>
      <c r="G29" s="26">
        <f t="shared" ref="G29:G51" si="22">(C29+E29+F29)</f>
        <v>0</v>
      </c>
      <c r="H29" s="27">
        <f t="shared" ref="H29:H51" si="23">+(F29+E29+C29)*$B$7</f>
        <v>0</v>
      </c>
      <c r="I29" s="26">
        <f t="shared" ref="I29:I51" si="24">(G29+H29)*19%</f>
        <v>0</v>
      </c>
      <c r="J29" s="3">
        <v>0</v>
      </c>
      <c r="K29" s="39">
        <f t="shared" ref="K29:K51" si="25">+(E29+C29)*1.15</f>
        <v>0</v>
      </c>
      <c r="L29" s="6">
        <v>0</v>
      </c>
      <c r="M29" s="1">
        <v>0</v>
      </c>
      <c r="N29" s="2">
        <v>0</v>
      </c>
    </row>
    <row r="30" spans="1:14" x14ac:dyDescent="0.45">
      <c r="A30" s="11"/>
      <c r="C30" s="5">
        <v>0</v>
      </c>
      <c r="D30" s="29">
        <f t="shared" si="0"/>
        <v>0</v>
      </c>
      <c r="E30" s="26">
        <f t="shared" si="15"/>
        <v>0</v>
      </c>
      <c r="F30" s="27">
        <f t="shared" si="21"/>
        <v>0</v>
      </c>
      <c r="G30" s="26">
        <f t="shared" si="22"/>
        <v>0</v>
      </c>
      <c r="H30" s="27">
        <f t="shared" si="23"/>
        <v>0</v>
      </c>
      <c r="I30" s="26">
        <f t="shared" si="24"/>
        <v>0</v>
      </c>
      <c r="J30" s="3">
        <v>0</v>
      </c>
      <c r="K30" s="39">
        <f t="shared" si="25"/>
        <v>0</v>
      </c>
      <c r="L30" s="6">
        <v>0</v>
      </c>
      <c r="M30" s="1">
        <v>0</v>
      </c>
      <c r="N30" s="2">
        <v>0</v>
      </c>
    </row>
    <row r="31" spans="1:14" x14ac:dyDescent="0.45">
      <c r="A31" s="11"/>
      <c r="C31" s="5">
        <v>0</v>
      </c>
      <c r="D31" s="29">
        <f t="shared" si="0"/>
        <v>0</v>
      </c>
      <c r="E31" s="26">
        <f t="shared" si="15"/>
        <v>0</v>
      </c>
      <c r="F31" s="27">
        <f t="shared" si="21"/>
        <v>0</v>
      </c>
      <c r="G31" s="26">
        <f t="shared" si="22"/>
        <v>0</v>
      </c>
      <c r="H31" s="27">
        <f t="shared" si="23"/>
        <v>0</v>
      </c>
      <c r="I31" s="26">
        <f t="shared" si="24"/>
        <v>0</v>
      </c>
      <c r="J31" s="3">
        <v>0</v>
      </c>
      <c r="K31" s="39">
        <f t="shared" si="25"/>
        <v>0</v>
      </c>
      <c r="L31" s="6">
        <v>0</v>
      </c>
      <c r="M31" s="1">
        <v>0</v>
      </c>
      <c r="N31" s="2">
        <v>0</v>
      </c>
    </row>
    <row r="32" spans="1:14" x14ac:dyDescent="0.45">
      <c r="A32" s="11"/>
      <c r="C32" s="5">
        <v>0</v>
      </c>
      <c r="D32" s="29">
        <f t="shared" si="0"/>
        <v>0</v>
      </c>
      <c r="E32" s="26">
        <f t="shared" si="15"/>
        <v>0</v>
      </c>
      <c r="F32" s="27">
        <f t="shared" si="21"/>
        <v>0</v>
      </c>
      <c r="G32" s="26">
        <f t="shared" si="22"/>
        <v>0</v>
      </c>
      <c r="H32" s="27">
        <f t="shared" si="23"/>
        <v>0</v>
      </c>
      <c r="I32" s="26">
        <f t="shared" si="24"/>
        <v>0</v>
      </c>
      <c r="J32" s="3">
        <v>0</v>
      </c>
      <c r="K32" s="39">
        <f t="shared" si="25"/>
        <v>0</v>
      </c>
      <c r="L32" s="6">
        <v>0</v>
      </c>
      <c r="M32" s="1">
        <v>0</v>
      </c>
      <c r="N32" s="2">
        <v>0</v>
      </c>
    </row>
    <row r="33" spans="1:14" x14ac:dyDescent="0.45">
      <c r="A33" s="11"/>
      <c r="C33" s="5">
        <v>0</v>
      </c>
      <c r="D33" s="29">
        <f t="shared" si="0"/>
        <v>0</v>
      </c>
      <c r="E33" s="26">
        <f t="shared" si="15"/>
        <v>0</v>
      </c>
      <c r="F33" s="27">
        <f t="shared" si="21"/>
        <v>0</v>
      </c>
      <c r="G33" s="26">
        <f t="shared" si="22"/>
        <v>0</v>
      </c>
      <c r="H33" s="27">
        <f t="shared" si="23"/>
        <v>0</v>
      </c>
      <c r="I33" s="26">
        <f t="shared" si="24"/>
        <v>0</v>
      </c>
      <c r="J33" s="3">
        <v>0</v>
      </c>
      <c r="K33" s="39">
        <f t="shared" si="25"/>
        <v>0</v>
      </c>
      <c r="L33" s="6">
        <v>0</v>
      </c>
      <c r="M33" s="1">
        <v>0</v>
      </c>
      <c r="N33" s="2">
        <v>0</v>
      </c>
    </row>
    <row r="34" spans="1:14" x14ac:dyDescent="0.45">
      <c r="A34" s="11"/>
      <c r="C34" s="5">
        <v>0</v>
      </c>
      <c r="D34" s="29">
        <f t="shared" si="0"/>
        <v>0</v>
      </c>
      <c r="E34" s="26">
        <f t="shared" si="15"/>
        <v>0</v>
      </c>
      <c r="F34" s="27">
        <f t="shared" si="21"/>
        <v>0</v>
      </c>
      <c r="G34" s="26">
        <f t="shared" si="22"/>
        <v>0</v>
      </c>
      <c r="H34" s="27">
        <f t="shared" si="23"/>
        <v>0</v>
      </c>
      <c r="I34" s="26">
        <f t="shared" si="24"/>
        <v>0</v>
      </c>
      <c r="J34" s="3">
        <v>0</v>
      </c>
      <c r="K34" s="39">
        <f t="shared" si="25"/>
        <v>0</v>
      </c>
      <c r="L34" s="6">
        <v>0</v>
      </c>
      <c r="M34" s="1">
        <v>0</v>
      </c>
      <c r="N34" s="2">
        <v>0</v>
      </c>
    </row>
    <row r="35" spans="1:14" x14ac:dyDescent="0.45">
      <c r="A35" s="11"/>
      <c r="C35" s="5">
        <v>0</v>
      </c>
      <c r="D35" s="29">
        <f t="shared" si="0"/>
        <v>0</v>
      </c>
      <c r="E35" s="26">
        <f t="shared" si="15"/>
        <v>0</v>
      </c>
      <c r="F35" s="27">
        <f t="shared" si="21"/>
        <v>0</v>
      </c>
      <c r="G35" s="26">
        <f t="shared" si="22"/>
        <v>0</v>
      </c>
      <c r="H35" s="27">
        <f t="shared" si="23"/>
        <v>0</v>
      </c>
      <c r="I35" s="26">
        <f t="shared" si="24"/>
        <v>0</v>
      </c>
      <c r="J35" s="3">
        <v>0</v>
      </c>
      <c r="K35" s="39">
        <f t="shared" si="25"/>
        <v>0</v>
      </c>
      <c r="L35" s="6">
        <v>0</v>
      </c>
      <c r="M35" s="1">
        <v>0</v>
      </c>
      <c r="N35" s="2">
        <v>0</v>
      </c>
    </row>
    <row r="36" spans="1:14" x14ac:dyDescent="0.45">
      <c r="A36" s="11"/>
      <c r="C36" s="5">
        <v>0</v>
      </c>
      <c r="D36" s="29">
        <f t="shared" si="0"/>
        <v>0</v>
      </c>
      <c r="E36" s="26">
        <f t="shared" si="15"/>
        <v>0</v>
      </c>
      <c r="F36" s="27">
        <f t="shared" si="21"/>
        <v>0</v>
      </c>
      <c r="G36" s="26">
        <f t="shared" si="22"/>
        <v>0</v>
      </c>
      <c r="H36" s="27">
        <f t="shared" si="23"/>
        <v>0</v>
      </c>
      <c r="I36" s="26">
        <f t="shared" si="24"/>
        <v>0</v>
      </c>
      <c r="J36" s="3">
        <v>0</v>
      </c>
      <c r="K36" s="39">
        <f t="shared" si="25"/>
        <v>0</v>
      </c>
      <c r="L36" s="6">
        <v>0</v>
      </c>
      <c r="M36" s="1">
        <v>0</v>
      </c>
      <c r="N36" s="2">
        <v>0</v>
      </c>
    </row>
    <row r="37" spans="1:14" x14ac:dyDescent="0.45">
      <c r="A37" s="11"/>
      <c r="C37" s="5">
        <v>0</v>
      </c>
      <c r="D37" s="29">
        <f t="shared" si="0"/>
        <v>0</v>
      </c>
      <c r="E37" s="26">
        <f t="shared" si="15"/>
        <v>0</v>
      </c>
      <c r="F37" s="27">
        <f t="shared" si="21"/>
        <v>0</v>
      </c>
      <c r="G37" s="26">
        <f t="shared" si="22"/>
        <v>0</v>
      </c>
      <c r="H37" s="27">
        <f t="shared" si="23"/>
        <v>0</v>
      </c>
      <c r="I37" s="26">
        <f t="shared" si="24"/>
        <v>0</v>
      </c>
      <c r="J37" s="3">
        <v>0</v>
      </c>
      <c r="K37" s="39">
        <f t="shared" si="25"/>
        <v>0</v>
      </c>
      <c r="L37" s="6">
        <v>0</v>
      </c>
      <c r="M37" s="1">
        <v>0</v>
      </c>
      <c r="N37" s="2">
        <v>0</v>
      </c>
    </row>
    <row r="38" spans="1:14" x14ac:dyDescent="0.45">
      <c r="A38" s="11"/>
      <c r="C38" s="5">
        <v>0</v>
      </c>
      <c r="D38" s="29">
        <f t="shared" si="0"/>
        <v>0</v>
      </c>
      <c r="E38" s="26">
        <f t="shared" si="15"/>
        <v>0</v>
      </c>
      <c r="F38" s="27">
        <f t="shared" si="21"/>
        <v>0</v>
      </c>
      <c r="G38" s="26">
        <f t="shared" si="22"/>
        <v>0</v>
      </c>
      <c r="H38" s="27">
        <f t="shared" si="23"/>
        <v>0</v>
      </c>
      <c r="I38" s="26">
        <f t="shared" si="24"/>
        <v>0</v>
      </c>
      <c r="J38" s="3">
        <v>0</v>
      </c>
      <c r="K38" s="39">
        <f t="shared" si="25"/>
        <v>0</v>
      </c>
      <c r="L38" s="6">
        <v>0</v>
      </c>
      <c r="M38" s="1">
        <v>0</v>
      </c>
      <c r="N38" s="2">
        <v>0</v>
      </c>
    </row>
    <row r="39" spans="1:14" x14ac:dyDescent="0.45">
      <c r="A39" s="11"/>
      <c r="C39" s="5">
        <v>0</v>
      </c>
      <c r="D39" s="29">
        <f t="shared" si="0"/>
        <v>0</v>
      </c>
      <c r="E39" s="26">
        <f t="shared" si="15"/>
        <v>0</v>
      </c>
      <c r="F39" s="27">
        <f t="shared" si="21"/>
        <v>0</v>
      </c>
      <c r="G39" s="26">
        <f t="shared" si="22"/>
        <v>0</v>
      </c>
      <c r="H39" s="27">
        <f t="shared" si="23"/>
        <v>0</v>
      </c>
      <c r="I39" s="26">
        <f t="shared" si="24"/>
        <v>0</v>
      </c>
      <c r="J39" s="3">
        <v>0</v>
      </c>
      <c r="K39" s="39">
        <f t="shared" si="25"/>
        <v>0</v>
      </c>
      <c r="L39" s="6">
        <v>0</v>
      </c>
      <c r="M39" s="1">
        <v>0</v>
      </c>
      <c r="N39" s="2">
        <v>0</v>
      </c>
    </row>
    <row r="40" spans="1:14" x14ac:dyDescent="0.45">
      <c r="A40" s="11"/>
      <c r="C40" s="5">
        <v>0</v>
      </c>
      <c r="D40" s="29">
        <f t="shared" si="0"/>
        <v>0</v>
      </c>
      <c r="E40" s="26">
        <f t="shared" si="15"/>
        <v>0</v>
      </c>
      <c r="F40" s="27">
        <f t="shared" si="21"/>
        <v>0</v>
      </c>
      <c r="G40" s="26">
        <f t="shared" si="22"/>
        <v>0</v>
      </c>
      <c r="H40" s="27">
        <f t="shared" si="23"/>
        <v>0</v>
      </c>
      <c r="I40" s="26">
        <f t="shared" si="24"/>
        <v>0</v>
      </c>
      <c r="J40" s="3">
        <v>0</v>
      </c>
      <c r="K40" s="39">
        <f t="shared" si="25"/>
        <v>0</v>
      </c>
      <c r="L40" s="6">
        <v>0</v>
      </c>
      <c r="M40" s="1">
        <v>0</v>
      </c>
      <c r="N40" s="2">
        <v>0</v>
      </c>
    </row>
    <row r="41" spans="1:14" x14ac:dyDescent="0.45">
      <c r="A41" s="11"/>
      <c r="C41" s="5">
        <v>0</v>
      </c>
      <c r="D41" s="29">
        <f t="shared" si="0"/>
        <v>0</v>
      </c>
      <c r="E41" s="26">
        <f t="shared" si="15"/>
        <v>0</v>
      </c>
      <c r="F41" s="27">
        <f t="shared" si="21"/>
        <v>0</v>
      </c>
      <c r="G41" s="26">
        <f t="shared" si="22"/>
        <v>0</v>
      </c>
      <c r="H41" s="27">
        <f t="shared" si="23"/>
        <v>0</v>
      </c>
      <c r="I41" s="26">
        <f t="shared" si="24"/>
        <v>0</v>
      </c>
      <c r="J41" s="3">
        <v>0</v>
      </c>
      <c r="K41" s="39">
        <f t="shared" si="25"/>
        <v>0</v>
      </c>
      <c r="L41" s="6">
        <v>0</v>
      </c>
      <c r="M41" s="1">
        <v>0</v>
      </c>
      <c r="N41" s="2">
        <v>0</v>
      </c>
    </row>
    <row r="42" spans="1:14" x14ac:dyDescent="0.45">
      <c r="A42" s="11"/>
      <c r="C42" s="5">
        <v>0</v>
      </c>
      <c r="D42" s="29">
        <f t="shared" si="0"/>
        <v>0</v>
      </c>
      <c r="E42" s="26">
        <f t="shared" si="15"/>
        <v>0</v>
      </c>
      <c r="F42" s="27">
        <f t="shared" si="21"/>
        <v>0</v>
      </c>
      <c r="G42" s="26">
        <f t="shared" si="22"/>
        <v>0</v>
      </c>
      <c r="H42" s="27">
        <f t="shared" si="23"/>
        <v>0</v>
      </c>
      <c r="I42" s="26">
        <f t="shared" si="24"/>
        <v>0</v>
      </c>
      <c r="J42" s="3">
        <v>0</v>
      </c>
      <c r="K42" s="39">
        <f t="shared" si="25"/>
        <v>0</v>
      </c>
      <c r="L42" s="6">
        <v>0</v>
      </c>
      <c r="M42" s="1">
        <v>0</v>
      </c>
      <c r="N42" s="2">
        <v>0</v>
      </c>
    </row>
    <row r="43" spans="1:14" x14ac:dyDescent="0.45">
      <c r="A43" s="11"/>
      <c r="C43" s="5">
        <v>0</v>
      </c>
      <c r="D43" s="29">
        <f t="shared" si="0"/>
        <v>0</v>
      </c>
      <c r="E43" s="26">
        <f t="shared" si="15"/>
        <v>0</v>
      </c>
      <c r="F43" s="27">
        <f t="shared" si="21"/>
        <v>0</v>
      </c>
      <c r="G43" s="26">
        <f t="shared" si="22"/>
        <v>0</v>
      </c>
      <c r="H43" s="27">
        <f t="shared" si="23"/>
        <v>0</v>
      </c>
      <c r="I43" s="26">
        <f t="shared" si="24"/>
        <v>0</v>
      </c>
      <c r="J43" s="3">
        <v>0</v>
      </c>
      <c r="K43" s="39">
        <f t="shared" si="25"/>
        <v>0</v>
      </c>
      <c r="L43" s="6">
        <v>0</v>
      </c>
      <c r="M43" s="1">
        <v>0</v>
      </c>
      <c r="N43" s="2">
        <v>0</v>
      </c>
    </row>
    <row r="44" spans="1:14" x14ac:dyDescent="0.45">
      <c r="A44" s="11"/>
      <c r="C44" s="5">
        <v>0</v>
      </c>
      <c r="D44" s="29">
        <f t="shared" si="0"/>
        <v>0</v>
      </c>
      <c r="E44" s="26">
        <f t="shared" si="15"/>
        <v>0</v>
      </c>
      <c r="F44" s="27">
        <f t="shared" si="21"/>
        <v>0</v>
      </c>
      <c r="G44" s="26">
        <f t="shared" si="22"/>
        <v>0</v>
      </c>
      <c r="H44" s="27">
        <f t="shared" si="23"/>
        <v>0</v>
      </c>
      <c r="I44" s="26">
        <f t="shared" si="24"/>
        <v>0</v>
      </c>
      <c r="J44" s="3">
        <v>0</v>
      </c>
      <c r="K44" s="39">
        <f t="shared" si="25"/>
        <v>0</v>
      </c>
      <c r="L44" s="6">
        <v>0</v>
      </c>
      <c r="M44" s="1">
        <v>0</v>
      </c>
      <c r="N44" s="2">
        <v>0</v>
      </c>
    </row>
    <row r="45" spans="1:14" x14ac:dyDescent="0.45">
      <c r="A45" s="11"/>
      <c r="C45" s="5">
        <v>0</v>
      </c>
      <c r="D45" s="29">
        <f t="shared" si="0"/>
        <v>0</v>
      </c>
      <c r="E45" s="26">
        <f t="shared" si="15"/>
        <v>0</v>
      </c>
      <c r="F45" s="27">
        <f t="shared" si="21"/>
        <v>0</v>
      </c>
      <c r="G45" s="26">
        <f t="shared" si="22"/>
        <v>0</v>
      </c>
      <c r="H45" s="27">
        <f t="shared" si="23"/>
        <v>0</v>
      </c>
      <c r="I45" s="26">
        <f t="shared" si="24"/>
        <v>0</v>
      </c>
      <c r="J45" s="3">
        <v>0</v>
      </c>
      <c r="K45" s="39">
        <f t="shared" si="25"/>
        <v>0</v>
      </c>
      <c r="L45" s="6">
        <v>0</v>
      </c>
      <c r="M45" s="1">
        <v>0</v>
      </c>
      <c r="N45" s="2">
        <v>0</v>
      </c>
    </row>
    <row r="46" spans="1:14" x14ac:dyDescent="0.45">
      <c r="A46" s="11"/>
      <c r="C46" s="5">
        <v>0</v>
      </c>
      <c r="D46" s="29">
        <f t="shared" si="0"/>
        <v>0</v>
      </c>
      <c r="E46" s="26">
        <f t="shared" si="15"/>
        <v>0</v>
      </c>
      <c r="F46" s="27">
        <f t="shared" si="21"/>
        <v>0</v>
      </c>
      <c r="G46" s="26">
        <f t="shared" si="22"/>
        <v>0</v>
      </c>
      <c r="H46" s="27">
        <f t="shared" si="23"/>
        <v>0</v>
      </c>
      <c r="I46" s="26">
        <f t="shared" si="24"/>
        <v>0</v>
      </c>
      <c r="J46" s="3">
        <v>0</v>
      </c>
      <c r="K46" s="39">
        <f t="shared" si="25"/>
        <v>0</v>
      </c>
      <c r="L46" s="6">
        <v>0</v>
      </c>
      <c r="M46" s="1">
        <v>0</v>
      </c>
      <c r="N46" s="2">
        <v>0</v>
      </c>
    </row>
    <row r="47" spans="1:14" x14ac:dyDescent="0.45">
      <c r="A47" s="11"/>
      <c r="C47" s="5">
        <v>0</v>
      </c>
      <c r="D47" s="29">
        <f t="shared" si="0"/>
        <v>0</v>
      </c>
      <c r="E47" s="26">
        <f t="shared" si="15"/>
        <v>0</v>
      </c>
      <c r="F47" s="27">
        <f t="shared" si="21"/>
        <v>0</v>
      </c>
      <c r="G47" s="26">
        <f t="shared" si="22"/>
        <v>0</v>
      </c>
      <c r="H47" s="27">
        <f t="shared" si="23"/>
        <v>0</v>
      </c>
      <c r="I47" s="26">
        <f t="shared" si="24"/>
        <v>0</v>
      </c>
      <c r="J47" s="3">
        <v>0</v>
      </c>
      <c r="K47" s="39">
        <f t="shared" si="25"/>
        <v>0</v>
      </c>
      <c r="L47" s="6">
        <v>0</v>
      </c>
      <c r="M47" s="1">
        <v>0</v>
      </c>
      <c r="N47" s="2">
        <v>0</v>
      </c>
    </row>
    <row r="48" spans="1:14" x14ac:dyDescent="0.45">
      <c r="A48" s="11"/>
      <c r="C48" s="5">
        <v>0</v>
      </c>
      <c r="D48" s="29">
        <f t="shared" si="0"/>
        <v>0</v>
      </c>
      <c r="E48" s="26">
        <f t="shared" si="15"/>
        <v>0</v>
      </c>
      <c r="F48" s="27">
        <f t="shared" si="21"/>
        <v>0</v>
      </c>
      <c r="G48" s="26">
        <f t="shared" si="22"/>
        <v>0</v>
      </c>
      <c r="H48" s="27">
        <f t="shared" si="23"/>
        <v>0</v>
      </c>
      <c r="I48" s="26">
        <f t="shared" si="24"/>
        <v>0</v>
      </c>
      <c r="J48" s="3">
        <v>0</v>
      </c>
      <c r="K48" s="39">
        <f t="shared" si="25"/>
        <v>0</v>
      </c>
      <c r="L48" s="6">
        <v>0</v>
      </c>
      <c r="M48" s="1">
        <v>0</v>
      </c>
      <c r="N48" s="2">
        <v>0</v>
      </c>
    </row>
    <row r="49" spans="1:14" x14ac:dyDescent="0.45">
      <c r="A49" s="11"/>
      <c r="C49" s="5">
        <v>0</v>
      </c>
      <c r="D49" s="29">
        <f t="shared" si="0"/>
        <v>0</v>
      </c>
      <c r="E49" s="26">
        <f t="shared" si="15"/>
        <v>0</v>
      </c>
      <c r="F49" s="27">
        <f t="shared" si="21"/>
        <v>0</v>
      </c>
      <c r="G49" s="26">
        <f t="shared" si="22"/>
        <v>0</v>
      </c>
      <c r="H49" s="27">
        <f t="shared" si="23"/>
        <v>0</v>
      </c>
      <c r="I49" s="26">
        <f t="shared" si="24"/>
        <v>0</v>
      </c>
      <c r="J49" s="3">
        <v>0</v>
      </c>
      <c r="K49" s="39">
        <f t="shared" si="25"/>
        <v>0</v>
      </c>
      <c r="L49" s="6">
        <v>0</v>
      </c>
      <c r="M49" s="1">
        <v>0</v>
      </c>
      <c r="N49" s="2">
        <v>0</v>
      </c>
    </row>
    <row r="50" spans="1:14" x14ac:dyDescent="0.45">
      <c r="A50" s="11"/>
      <c r="C50" s="5">
        <v>0</v>
      </c>
      <c r="D50" s="29">
        <f t="shared" si="0"/>
        <v>0</v>
      </c>
      <c r="E50" s="26">
        <f t="shared" si="15"/>
        <v>0</v>
      </c>
      <c r="F50" s="27">
        <f t="shared" si="21"/>
        <v>0</v>
      </c>
      <c r="G50" s="26">
        <f t="shared" si="22"/>
        <v>0</v>
      </c>
      <c r="H50" s="27">
        <f t="shared" si="23"/>
        <v>0</v>
      </c>
      <c r="I50" s="26">
        <f t="shared" si="24"/>
        <v>0</v>
      </c>
      <c r="J50" s="3">
        <v>0</v>
      </c>
      <c r="K50" s="39">
        <f t="shared" si="25"/>
        <v>0</v>
      </c>
      <c r="L50" s="6">
        <v>0</v>
      </c>
      <c r="M50" s="1">
        <v>0</v>
      </c>
      <c r="N50" s="2">
        <v>0</v>
      </c>
    </row>
    <row r="51" spans="1:14" ht="14.65" thickBot="1" x14ac:dyDescent="0.5">
      <c r="A51" s="11"/>
      <c r="C51" s="5">
        <v>0</v>
      </c>
      <c r="D51" s="29">
        <f t="shared" si="0"/>
        <v>0</v>
      </c>
      <c r="E51" s="26">
        <f t="shared" si="15"/>
        <v>0</v>
      </c>
      <c r="F51" s="27">
        <f t="shared" si="21"/>
        <v>0</v>
      </c>
      <c r="G51" s="26">
        <f t="shared" si="22"/>
        <v>0</v>
      </c>
      <c r="H51" s="27">
        <f t="shared" si="23"/>
        <v>0</v>
      </c>
      <c r="I51" s="26">
        <f t="shared" si="24"/>
        <v>0</v>
      </c>
      <c r="J51" s="3">
        <v>0</v>
      </c>
      <c r="K51" s="39">
        <f t="shared" si="25"/>
        <v>0</v>
      </c>
      <c r="L51" s="6">
        <v>0</v>
      </c>
      <c r="M51" s="1">
        <v>0</v>
      </c>
      <c r="N51" s="2">
        <v>0</v>
      </c>
    </row>
    <row r="52" spans="1:14" ht="14.65" thickBot="1" x14ac:dyDescent="0.5">
      <c r="A52" s="11"/>
      <c r="B52" s="24" t="s">
        <v>17</v>
      </c>
      <c r="C52" s="22">
        <f>SUM(C2:C51)</f>
        <v>39960</v>
      </c>
      <c r="D52" s="25">
        <f>SUM(D2:D51)</f>
        <v>1</v>
      </c>
      <c r="E52" s="22">
        <f>SUM(E2:E51)</f>
        <v>2000</v>
      </c>
      <c r="F52" s="19">
        <f>+K52*0.05776%</f>
        <v>27.871510399999995</v>
      </c>
      <c r="G52" s="22">
        <f>SUM(G2:G51)</f>
        <v>41987.8715104</v>
      </c>
      <c r="H52" s="22">
        <f>SUM(H2:H51)</f>
        <v>2519.2722906240001</v>
      </c>
      <c r="I52" s="22">
        <f>SUM(I2:I51)</f>
        <v>8456.3573221945608</v>
      </c>
      <c r="J52" s="21"/>
      <c r="K52" s="40">
        <f>SUM(K2:K51)</f>
        <v>48253.999999999993</v>
      </c>
    </row>
    <row r="53" spans="1:14" x14ac:dyDescent="0.45">
      <c r="A53" s="11"/>
    </row>
    <row r="54" spans="1:14" x14ac:dyDescent="0.45">
      <c r="A54" s="11"/>
      <c r="J54" s="14"/>
    </row>
    <row r="55" spans="1:14" x14ac:dyDescent="0.45">
      <c r="A55" s="11"/>
    </row>
    <row r="56" spans="1:14" x14ac:dyDescent="0.45">
      <c r="A56" s="11"/>
    </row>
    <row r="57" spans="1:14" x14ac:dyDescent="0.45">
      <c r="A57" s="11"/>
    </row>
    <row r="58" spans="1:14" x14ac:dyDescent="0.45">
      <c r="A58" s="11"/>
    </row>
    <row r="59" spans="1:14" x14ac:dyDescent="0.45">
      <c r="A59" s="11"/>
    </row>
    <row r="60" spans="1:14" x14ac:dyDescent="0.45">
      <c r="A60" s="11"/>
    </row>
    <row r="61" spans="1:14" x14ac:dyDescent="0.45">
      <c r="A61" s="11"/>
    </row>
  </sheetData>
  <phoneticPr fontId="2" type="noConversion"/>
  <conditionalFormatting sqref="J2">
    <cfRule type="duplicateValues" dxfId="0" priority="1"/>
  </conditionalFormatting>
  <pageMargins left="0.25" right="0.25" top="0.75" bottom="0.75" header="0.3" footer="0.3"/>
  <pageSetup paperSize="14" scale="65" orientation="portrait" r:id="rId1"/>
  <ignoredErrors>
    <ignoredError sqref="F5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3"/>
  <sheetViews>
    <sheetView workbookViewId="0">
      <selection activeCell="B32" sqref="B32"/>
    </sheetView>
  </sheetViews>
  <sheetFormatPr baseColWidth="10" defaultColWidth="11.3984375" defaultRowHeight="14.25" x14ac:dyDescent="0.45"/>
  <cols>
    <col min="1" max="1" width="8.265625" style="4" bestFit="1" customWidth="1"/>
    <col min="2" max="2" width="10.73046875" style="4" bestFit="1" customWidth="1"/>
    <col min="3" max="3" width="18.73046875" style="4" bestFit="1" customWidth="1"/>
    <col min="4" max="4" width="7.86328125" style="4" bestFit="1" customWidth="1"/>
    <col min="5" max="5" width="9.59765625" style="4" bestFit="1" customWidth="1"/>
    <col min="6" max="6" width="23.59765625" style="4" bestFit="1" customWidth="1"/>
    <col min="7" max="7" width="9.59765625" style="4" bestFit="1" customWidth="1"/>
    <col min="8" max="16384" width="11.3984375" style="4"/>
  </cols>
  <sheetData>
    <row r="1" spans="1:7" ht="14.65" thickBot="1" x14ac:dyDescent="0.5">
      <c r="A1" s="36" t="str">
        <f>'Prorrateo General'!A1</f>
        <v>Flete BL</v>
      </c>
      <c r="B1" s="37" t="str">
        <f>'Prorrateo General'!E1</f>
        <v>Valor Flete</v>
      </c>
      <c r="C1" s="36" t="str">
        <f>'Prorrateo General'!J1</f>
        <v xml:space="preserve">Referencia </v>
      </c>
      <c r="D1" s="36" t="s">
        <v>18</v>
      </c>
      <c r="E1" s="36" t="str">
        <f>'Prorrateo General'!M1</f>
        <v>Despacho</v>
      </c>
      <c r="F1" s="37" t="s">
        <v>19</v>
      </c>
      <c r="G1" s="38" t="s">
        <v>20</v>
      </c>
    </row>
    <row r="2" spans="1:7" ht="14.65" thickBot="1" x14ac:dyDescent="0.5">
      <c r="A2" s="35">
        <f>'Prorrateo General'!A2</f>
        <v>2000</v>
      </c>
      <c r="B2" s="43">
        <f>'Prorrateo General'!E2</f>
        <v>2000</v>
      </c>
      <c r="C2" s="45" t="str">
        <f>'Prorrateo General'!J2</f>
        <v>54415CLFA/25J09-1</v>
      </c>
      <c r="D2" s="41">
        <f>'Prorrateo General'!F2</f>
        <v>27.871510399999995</v>
      </c>
      <c r="E2" s="44">
        <f>'Prorrateo General'!M2</f>
        <v>700603</v>
      </c>
      <c r="F2" s="42" t="str">
        <f>'Prorrateo General'!N2</f>
        <v>BN25157785</v>
      </c>
      <c r="G2" s="43">
        <f>'Prorrateo General'!C2</f>
        <v>39960</v>
      </c>
    </row>
    <row r="3" spans="1:7" ht="14.65" hidden="1" thickBot="1" x14ac:dyDescent="0.5">
      <c r="A3" s="14"/>
      <c r="B3" s="43">
        <f>'Prorrateo General'!E3</f>
        <v>0</v>
      </c>
      <c r="C3" s="45">
        <f>'Prorrateo General'!J3</f>
        <v>0</v>
      </c>
      <c r="D3" s="41">
        <f>'Prorrateo General'!F3</f>
        <v>0</v>
      </c>
      <c r="E3" s="44">
        <f>'Prorrateo General'!M3</f>
        <v>0</v>
      </c>
      <c r="F3" s="42">
        <f>'Prorrateo General'!N3</f>
        <v>0</v>
      </c>
      <c r="G3" s="43">
        <f>'Prorrateo General'!C3</f>
        <v>0</v>
      </c>
    </row>
    <row r="4" spans="1:7" ht="14.65" hidden="1" thickBot="1" x14ac:dyDescent="0.5">
      <c r="A4" s="14"/>
      <c r="B4" s="43">
        <f>'Prorrateo General'!E4</f>
        <v>0</v>
      </c>
      <c r="C4" s="45">
        <f>'Prorrateo General'!J4</f>
        <v>0</v>
      </c>
      <c r="D4" s="41">
        <f>'Prorrateo General'!F4</f>
        <v>0</v>
      </c>
      <c r="E4" s="44">
        <f>'Prorrateo General'!M4</f>
        <v>0</v>
      </c>
      <c r="F4" s="42">
        <f>'Prorrateo General'!N4</f>
        <v>0</v>
      </c>
      <c r="G4" s="43">
        <f>'Prorrateo General'!C4</f>
        <v>0</v>
      </c>
    </row>
    <row r="5" spans="1:7" ht="14.65" hidden="1" thickBot="1" x14ac:dyDescent="0.5">
      <c r="A5" s="14"/>
      <c r="B5" s="43">
        <f>'Prorrateo General'!E5</f>
        <v>0</v>
      </c>
      <c r="C5" s="45">
        <f>'Prorrateo General'!J5</f>
        <v>0</v>
      </c>
      <c r="D5" s="41">
        <f>'Prorrateo General'!F5</f>
        <v>0</v>
      </c>
      <c r="E5" s="44">
        <f>'Prorrateo General'!M5</f>
        <v>0</v>
      </c>
      <c r="F5" s="42">
        <f>'Prorrateo General'!N5</f>
        <v>0</v>
      </c>
      <c r="G5" s="43">
        <f>'Prorrateo General'!C5</f>
        <v>0</v>
      </c>
    </row>
    <row r="6" spans="1:7" ht="14.65" hidden="1" thickBot="1" x14ac:dyDescent="0.5">
      <c r="A6" s="14"/>
      <c r="B6" s="43">
        <f>'Prorrateo General'!E6</f>
        <v>0</v>
      </c>
      <c r="C6" s="45">
        <f>'Prorrateo General'!J6</f>
        <v>0</v>
      </c>
      <c r="D6" s="41">
        <f>'Prorrateo General'!F6</f>
        <v>0</v>
      </c>
      <c r="E6" s="44">
        <f>'Prorrateo General'!M6</f>
        <v>0</v>
      </c>
      <c r="F6" s="42">
        <f>'Prorrateo General'!N6</f>
        <v>0</v>
      </c>
      <c r="G6" s="43">
        <f>'Prorrateo General'!C6</f>
        <v>0</v>
      </c>
    </row>
    <row r="7" spans="1:7" ht="14.65" hidden="1" thickBot="1" x14ac:dyDescent="0.5">
      <c r="A7" s="14"/>
      <c r="B7" s="43">
        <f>'Prorrateo General'!E7</f>
        <v>0</v>
      </c>
      <c r="C7" s="45">
        <f>'Prorrateo General'!J7</f>
        <v>0</v>
      </c>
      <c r="D7" s="41">
        <f>'Prorrateo General'!F7</f>
        <v>0</v>
      </c>
      <c r="E7" s="44">
        <f>'Prorrateo General'!M7</f>
        <v>0</v>
      </c>
      <c r="F7" s="42">
        <f>'Prorrateo General'!N7</f>
        <v>0</v>
      </c>
      <c r="G7" s="43">
        <f>'Prorrateo General'!C7</f>
        <v>0</v>
      </c>
    </row>
    <row r="8" spans="1:7" ht="14.65" hidden="1" thickBot="1" x14ac:dyDescent="0.5">
      <c r="A8" s="14"/>
      <c r="B8" s="43">
        <f>'Prorrateo General'!E8</f>
        <v>0</v>
      </c>
      <c r="C8" s="45">
        <f>'Prorrateo General'!J8</f>
        <v>0</v>
      </c>
      <c r="D8" s="41">
        <f>'Prorrateo General'!F8</f>
        <v>0</v>
      </c>
      <c r="E8" s="44">
        <f>'Prorrateo General'!M8</f>
        <v>0</v>
      </c>
      <c r="F8" s="42">
        <f>'Prorrateo General'!N8</f>
        <v>0</v>
      </c>
      <c r="G8" s="43">
        <f>'Prorrateo General'!C8</f>
        <v>0</v>
      </c>
    </row>
    <row r="9" spans="1:7" ht="14.65" hidden="1" thickBot="1" x14ac:dyDescent="0.5">
      <c r="A9" s="14"/>
      <c r="B9" s="43">
        <f>'Prorrateo General'!E9</f>
        <v>0</v>
      </c>
      <c r="C9" s="45">
        <f>'Prorrateo General'!J9</f>
        <v>0</v>
      </c>
      <c r="D9" s="41">
        <f>'Prorrateo General'!F9</f>
        <v>0</v>
      </c>
      <c r="E9" s="44">
        <f>'Prorrateo General'!M9</f>
        <v>0</v>
      </c>
      <c r="F9" s="42">
        <f>'Prorrateo General'!N9</f>
        <v>0</v>
      </c>
      <c r="G9" s="43">
        <f>'Prorrateo General'!C9</f>
        <v>0</v>
      </c>
    </row>
    <row r="10" spans="1:7" ht="14.65" hidden="1" thickBot="1" x14ac:dyDescent="0.5">
      <c r="A10" s="14"/>
      <c r="B10" s="43">
        <f>'Prorrateo General'!E10</f>
        <v>0</v>
      </c>
      <c r="C10" s="45">
        <f>'Prorrateo General'!J10</f>
        <v>0</v>
      </c>
      <c r="D10" s="41">
        <f>'Prorrateo General'!F10</f>
        <v>0</v>
      </c>
      <c r="E10" s="44">
        <f>'Prorrateo General'!M10</f>
        <v>0</v>
      </c>
      <c r="F10" s="42">
        <f>'Prorrateo General'!N10</f>
        <v>0</v>
      </c>
      <c r="G10" s="43">
        <f>'Prorrateo General'!C10</f>
        <v>0</v>
      </c>
    </row>
    <row r="11" spans="1:7" ht="14.65" hidden="1" thickBot="1" x14ac:dyDescent="0.5">
      <c r="A11" s="14"/>
      <c r="B11" s="43">
        <f>'Prorrateo General'!E11</f>
        <v>0</v>
      </c>
      <c r="C11" s="45">
        <f>'Prorrateo General'!J11</f>
        <v>0</v>
      </c>
      <c r="D11" s="41">
        <f>'Prorrateo General'!F11</f>
        <v>0</v>
      </c>
      <c r="E11" s="44">
        <f>'Prorrateo General'!M11</f>
        <v>0</v>
      </c>
      <c r="F11" s="42">
        <f>'Prorrateo General'!N11</f>
        <v>0</v>
      </c>
      <c r="G11" s="43">
        <f>'Prorrateo General'!C11</f>
        <v>0</v>
      </c>
    </row>
    <row r="12" spans="1:7" ht="14.65" hidden="1" thickBot="1" x14ac:dyDescent="0.5">
      <c r="A12" s="14"/>
      <c r="B12" s="43">
        <f>'Prorrateo General'!E12</f>
        <v>0</v>
      </c>
      <c r="C12" s="45">
        <f>'Prorrateo General'!J12</f>
        <v>0</v>
      </c>
      <c r="D12" s="41">
        <f>'Prorrateo General'!F12</f>
        <v>0</v>
      </c>
      <c r="E12" s="44">
        <f>'Prorrateo General'!M12</f>
        <v>0</v>
      </c>
      <c r="F12" s="42">
        <f>'Prorrateo General'!N12</f>
        <v>0</v>
      </c>
      <c r="G12" s="43">
        <f>'Prorrateo General'!C12</f>
        <v>0</v>
      </c>
    </row>
    <row r="13" spans="1:7" ht="14.65" hidden="1" thickBot="1" x14ac:dyDescent="0.5">
      <c r="A13" s="14"/>
      <c r="B13" s="43">
        <f>'Prorrateo General'!E13</f>
        <v>0</v>
      </c>
      <c r="C13" s="45">
        <f>'Prorrateo General'!J13</f>
        <v>0</v>
      </c>
      <c r="D13" s="41">
        <f>'Prorrateo General'!F13</f>
        <v>0</v>
      </c>
      <c r="E13" s="44">
        <f>'Prorrateo General'!M13</f>
        <v>0</v>
      </c>
      <c r="F13" s="42">
        <f>'Prorrateo General'!N13</f>
        <v>0</v>
      </c>
      <c r="G13" s="43">
        <f>'Prorrateo General'!C13</f>
        <v>0</v>
      </c>
    </row>
    <row r="14" spans="1:7" ht="14.65" hidden="1" thickBot="1" x14ac:dyDescent="0.5">
      <c r="A14" s="14"/>
      <c r="B14" s="43">
        <f>'Prorrateo General'!E14</f>
        <v>0</v>
      </c>
      <c r="C14" s="45">
        <f>'Prorrateo General'!J14</f>
        <v>0</v>
      </c>
      <c r="D14" s="41">
        <f>'Prorrateo General'!F14</f>
        <v>0</v>
      </c>
      <c r="E14" s="44">
        <f>'Prorrateo General'!M14</f>
        <v>0</v>
      </c>
      <c r="F14" s="42">
        <f>'Prorrateo General'!N14</f>
        <v>0</v>
      </c>
      <c r="G14" s="43">
        <f>'Prorrateo General'!C14</f>
        <v>0</v>
      </c>
    </row>
    <row r="15" spans="1:7" ht="14.65" hidden="1" thickBot="1" x14ac:dyDescent="0.5">
      <c r="A15" s="14"/>
      <c r="B15" s="43">
        <f>'Prorrateo General'!E15</f>
        <v>0</v>
      </c>
      <c r="C15" s="45">
        <f>'Prorrateo General'!J15</f>
        <v>0</v>
      </c>
      <c r="D15" s="41">
        <f>'Prorrateo General'!F15</f>
        <v>0</v>
      </c>
      <c r="E15" s="44">
        <f>'Prorrateo General'!M15</f>
        <v>0</v>
      </c>
      <c r="F15" s="42">
        <f>'Prorrateo General'!N15</f>
        <v>0</v>
      </c>
      <c r="G15" s="43">
        <f>'Prorrateo General'!C15</f>
        <v>0</v>
      </c>
    </row>
    <row r="16" spans="1:7" ht="14.65" hidden="1" thickBot="1" x14ac:dyDescent="0.5">
      <c r="A16" s="14"/>
      <c r="B16" s="43">
        <f>'Prorrateo General'!E16</f>
        <v>0</v>
      </c>
      <c r="C16" s="45">
        <f>'Prorrateo General'!J16</f>
        <v>0</v>
      </c>
      <c r="D16" s="41">
        <f>'Prorrateo General'!F16</f>
        <v>0</v>
      </c>
      <c r="E16" s="44">
        <f>'Prorrateo General'!M16</f>
        <v>0</v>
      </c>
      <c r="F16" s="42">
        <f>'Prorrateo General'!N16</f>
        <v>0</v>
      </c>
      <c r="G16" s="43">
        <f>'Prorrateo General'!C16</f>
        <v>0</v>
      </c>
    </row>
    <row r="17" spans="1:7" ht="14.65" hidden="1" thickBot="1" x14ac:dyDescent="0.5">
      <c r="A17" s="14"/>
      <c r="B17" s="43">
        <f>'Prorrateo General'!E17</f>
        <v>0</v>
      </c>
      <c r="C17" s="45">
        <f>'Prorrateo General'!J17</f>
        <v>0</v>
      </c>
      <c r="D17" s="41">
        <f>'Prorrateo General'!F17</f>
        <v>0</v>
      </c>
      <c r="E17" s="44">
        <f>'Prorrateo General'!M17</f>
        <v>0</v>
      </c>
      <c r="F17" s="42">
        <f>'Prorrateo General'!N17</f>
        <v>0</v>
      </c>
      <c r="G17" s="43">
        <f>'Prorrateo General'!C17</f>
        <v>0</v>
      </c>
    </row>
    <row r="18" spans="1:7" ht="14.65" hidden="1" thickBot="1" x14ac:dyDescent="0.5">
      <c r="A18" s="14"/>
      <c r="B18" s="43">
        <f>'Prorrateo General'!E18</f>
        <v>0</v>
      </c>
      <c r="C18" s="45">
        <f>'Prorrateo General'!J18</f>
        <v>0</v>
      </c>
      <c r="D18" s="41">
        <f>'Prorrateo General'!F18</f>
        <v>0</v>
      </c>
      <c r="E18" s="44">
        <f>'Prorrateo General'!M18</f>
        <v>0</v>
      </c>
      <c r="F18" s="42">
        <f>'Prorrateo General'!N18</f>
        <v>0</v>
      </c>
      <c r="G18" s="43">
        <f>'Prorrateo General'!C18</f>
        <v>0</v>
      </c>
    </row>
    <row r="19" spans="1:7" ht="14.65" hidden="1" thickBot="1" x14ac:dyDescent="0.5">
      <c r="A19" s="14"/>
      <c r="B19" s="43">
        <f>'Prorrateo General'!E19</f>
        <v>0</v>
      </c>
      <c r="C19" s="45">
        <f>'Prorrateo General'!J19</f>
        <v>0</v>
      </c>
      <c r="D19" s="41">
        <f>'Prorrateo General'!F19</f>
        <v>0</v>
      </c>
      <c r="E19" s="44">
        <f>'Prorrateo General'!M19</f>
        <v>0</v>
      </c>
      <c r="F19" s="42">
        <f>'Prorrateo General'!N19</f>
        <v>0</v>
      </c>
      <c r="G19" s="43">
        <f>'Prorrateo General'!C19</f>
        <v>0</v>
      </c>
    </row>
    <row r="20" spans="1:7" ht="14.65" hidden="1" thickBot="1" x14ac:dyDescent="0.5">
      <c r="A20" s="14"/>
      <c r="B20" s="43">
        <f>'Prorrateo General'!E20</f>
        <v>0</v>
      </c>
      <c r="C20" s="45">
        <f>'Prorrateo General'!J20</f>
        <v>0</v>
      </c>
      <c r="D20" s="41">
        <f>'Prorrateo General'!F20</f>
        <v>0</v>
      </c>
      <c r="E20" s="44">
        <f>'Prorrateo General'!M20</f>
        <v>0</v>
      </c>
      <c r="F20" s="42">
        <f>'Prorrateo General'!N20</f>
        <v>0</v>
      </c>
      <c r="G20" s="43">
        <f>'Prorrateo General'!C20</f>
        <v>0</v>
      </c>
    </row>
    <row r="21" spans="1:7" ht="14.65" hidden="1" thickBot="1" x14ac:dyDescent="0.5">
      <c r="A21" s="14"/>
      <c r="B21" s="43">
        <f>'Prorrateo General'!E21</f>
        <v>0</v>
      </c>
      <c r="C21" s="45">
        <f>'Prorrateo General'!J21</f>
        <v>0</v>
      </c>
      <c r="D21" s="41">
        <f>'Prorrateo General'!F21</f>
        <v>0</v>
      </c>
      <c r="E21" s="44">
        <f>'Prorrateo General'!M21</f>
        <v>0</v>
      </c>
      <c r="F21" s="42">
        <f>'Prorrateo General'!N21</f>
        <v>0</v>
      </c>
      <c r="G21" s="43">
        <f>'Prorrateo General'!C21</f>
        <v>0</v>
      </c>
    </row>
    <row r="22" spans="1:7" ht="14.65" hidden="1" thickBot="1" x14ac:dyDescent="0.5">
      <c r="A22" s="14"/>
      <c r="B22" s="43">
        <f>'Prorrateo General'!E22</f>
        <v>0</v>
      </c>
      <c r="C22" s="45">
        <f>'Prorrateo General'!J22</f>
        <v>0</v>
      </c>
      <c r="D22" s="41">
        <f>'Prorrateo General'!F22</f>
        <v>0</v>
      </c>
      <c r="E22" s="44">
        <f>'Prorrateo General'!M22</f>
        <v>0</v>
      </c>
      <c r="F22" s="42">
        <f>'Prorrateo General'!N22</f>
        <v>0</v>
      </c>
      <c r="G22" s="43">
        <f>'Prorrateo General'!C22</f>
        <v>0</v>
      </c>
    </row>
    <row r="23" spans="1:7" ht="14.65" hidden="1" thickBot="1" x14ac:dyDescent="0.5">
      <c r="A23" s="14"/>
      <c r="B23" s="43">
        <f>'Prorrateo General'!E23</f>
        <v>0</v>
      </c>
      <c r="C23" s="45">
        <f>'Prorrateo General'!J23</f>
        <v>0</v>
      </c>
      <c r="D23" s="41">
        <f>'Prorrateo General'!F23</f>
        <v>0</v>
      </c>
      <c r="E23" s="44">
        <f>'Prorrateo General'!M23</f>
        <v>0</v>
      </c>
      <c r="F23" s="42">
        <f>'Prorrateo General'!N23</f>
        <v>0</v>
      </c>
      <c r="G23" s="43">
        <f>'Prorrateo General'!C23</f>
        <v>0</v>
      </c>
    </row>
    <row r="24" spans="1:7" ht="14.65" hidden="1" thickBot="1" x14ac:dyDescent="0.5">
      <c r="A24" s="14"/>
      <c r="B24" s="43">
        <f>'Prorrateo General'!E24</f>
        <v>0</v>
      </c>
      <c r="C24" s="45">
        <f>'Prorrateo General'!J24</f>
        <v>0</v>
      </c>
      <c r="D24" s="41">
        <f>'Prorrateo General'!F24</f>
        <v>0</v>
      </c>
      <c r="E24" s="44">
        <f>'Prorrateo General'!M24</f>
        <v>0</v>
      </c>
      <c r="F24" s="42">
        <f>'Prorrateo General'!N24</f>
        <v>0</v>
      </c>
      <c r="G24" s="43">
        <f>'Prorrateo General'!C24</f>
        <v>0</v>
      </c>
    </row>
    <row r="25" spans="1:7" ht="14.65" hidden="1" thickBot="1" x14ac:dyDescent="0.5">
      <c r="A25" s="14"/>
      <c r="B25" s="43">
        <f>'Prorrateo General'!E25</f>
        <v>0</v>
      </c>
      <c r="C25" s="45">
        <f>'Prorrateo General'!J25</f>
        <v>0</v>
      </c>
      <c r="D25" s="41">
        <f>'Prorrateo General'!F25</f>
        <v>0</v>
      </c>
      <c r="E25" s="44">
        <f>'Prorrateo General'!M25</f>
        <v>0</v>
      </c>
      <c r="F25" s="42">
        <f>'Prorrateo General'!N25</f>
        <v>0</v>
      </c>
      <c r="G25" s="43">
        <f>'Prorrateo General'!C25</f>
        <v>0</v>
      </c>
    </row>
    <row r="26" spans="1:7" ht="14.65" hidden="1" thickBot="1" x14ac:dyDescent="0.5">
      <c r="A26" s="14"/>
      <c r="B26" s="43">
        <f>'Prorrateo General'!E26</f>
        <v>0</v>
      </c>
      <c r="C26" s="45">
        <f>'Prorrateo General'!J26</f>
        <v>0</v>
      </c>
      <c r="D26" s="41">
        <f>'Prorrateo General'!F26</f>
        <v>0</v>
      </c>
      <c r="E26" s="44">
        <f>'Prorrateo General'!M26</f>
        <v>0</v>
      </c>
      <c r="F26" s="42">
        <f>'Prorrateo General'!N26</f>
        <v>0</v>
      </c>
      <c r="G26" s="43">
        <f>'Prorrateo General'!C26</f>
        <v>0</v>
      </c>
    </row>
    <row r="27" spans="1:7" ht="14.65" hidden="1" thickBot="1" x14ac:dyDescent="0.5">
      <c r="A27" s="14"/>
      <c r="B27" s="43">
        <f>'Prorrateo General'!E27</f>
        <v>0</v>
      </c>
      <c r="C27" s="45">
        <f>'Prorrateo General'!J27</f>
        <v>0</v>
      </c>
      <c r="D27" s="41">
        <f>'Prorrateo General'!F27</f>
        <v>0</v>
      </c>
      <c r="E27" s="44">
        <f>'Prorrateo General'!M27</f>
        <v>0</v>
      </c>
      <c r="F27" s="42">
        <f>'Prorrateo General'!N27</f>
        <v>0</v>
      </c>
      <c r="G27" s="43">
        <f>'Prorrateo General'!C27</f>
        <v>0</v>
      </c>
    </row>
    <row r="28" spans="1:7" ht="14.65" hidden="1" thickBot="1" x14ac:dyDescent="0.5">
      <c r="A28" s="14"/>
      <c r="B28" s="43">
        <f>'Prorrateo General'!E28</f>
        <v>0</v>
      </c>
      <c r="C28" s="45">
        <f>'Prorrateo General'!J28</f>
        <v>0</v>
      </c>
      <c r="D28" s="41">
        <f>'Prorrateo General'!F28</f>
        <v>0</v>
      </c>
      <c r="E28" s="44">
        <f>'Prorrateo General'!M28</f>
        <v>0</v>
      </c>
      <c r="F28" s="42">
        <f>'Prorrateo General'!N28</f>
        <v>0</v>
      </c>
      <c r="G28" s="43">
        <f>'Prorrateo General'!C28</f>
        <v>0</v>
      </c>
    </row>
    <row r="29" spans="1:7" ht="14.65" hidden="1" thickBot="1" x14ac:dyDescent="0.5">
      <c r="A29" s="14"/>
      <c r="B29" s="43">
        <f>'Prorrateo General'!E29</f>
        <v>0</v>
      </c>
      <c r="C29" s="45">
        <f>'Prorrateo General'!J29</f>
        <v>0</v>
      </c>
      <c r="D29" s="41">
        <f>'Prorrateo General'!F29</f>
        <v>0</v>
      </c>
      <c r="E29" s="44">
        <f>'Prorrateo General'!M29</f>
        <v>0</v>
      </c>
      <c r="F29" s="42">
        <f>'Prorrateo General'!N29</f>
        <v>0</v>
      </c>
      <c r="G29" s="43">
        <f>'Prorrateo General'!C29</f>
        <v>0</v>
      </c>
    </row>
    <row r="30" spans="1:7" ht="14.65" hidden="1" thickBot="1" x14ac:dyDescent="0.5">
      <c r="A30" s="14"/>
      <c r="B30" s="43">
        <f>'Prorrateo General'!E30</f>
        <v>0</v>
      </c>
      <c r="C30" s="45">
        <f>'Prorrateo General'!J30</f>
        <v>0</v>
      </c>
      <c r="D30" s="41">
        <f>'Prorrateo General'!F30</f>
        <v>0</v>
      </c>
      <c r="E30" s="44">
        <f>'Prorrateo General'!M30</f>
        <v>0</v>
      </c>
      <c r="F30" s="42">
        <f>'Prorrateo General'!N30</f>
        <v>0</v>
      </c>
      <c r="G30" s="43">
        <f>'Prorrateo General'!C30</f>
        <v>0</v>
      </c>
    </row>
    <row r="31" spans="1:7" ht="14.65" hidden="1" thickBot="1" x14ac:dyDescent="0.5">
      <c r="A31" s="14"/>
      <c r="B31" s="43">
        <f>'Prorrateo General'!E31</f>
        <v>0</v>
      </c>
      <c r="C31" s="45">
        <f>'Prorrateo General'!J31</f>
        <v>0</v>
      </c>
      <c r="D31" s="41">
        <f>'Prorrateo General'!F31</f>
        <v>0</v>
      </c>
      <c r="E31" s="44">
        <f>'Prorrateo General'!M31</f>
        <v>0</v>
      </c>
      <c r="F31" s="42">
        <f>'Prorrateo General'!N31</f>
        <v>0</v>
      </c>
      <c r="G31" s="43">
        <f>'Prorrateo General'!C31</f>
        <v>0</v>
      </c>
    </row>
    <row r="32" spans="1:7" ht="14.65" thickBot="1" x14ac:dyDescent="0.5">
      <c r="B32" s="19">
        <f>'Prorrateo General'!E52</f>
        <v>2000</v>
      </c>
      <c r="C32" s="16"/>
      <c r="D32" s="19">
        <f>'Prorrateo General'!F52</f>
        <v>27.871510399999995</v>
      </c>
      <c r="E32" s="17"/>
      <c r="F32" s="18"/>
      <c r="G32" s="20">
        <f>'Prorrateo General'!C52</f>
        <v>39960</v>
      </c>
    </row>
    <row r="33" spans="2:4" x14ac:dyDescent="0.45">
      <c r="B33" s="14"/>
      <c r="D33" s="14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399DE8A1049C4694504E74784731F7" ma:contentTypeVersion="13" ma:contentTypeDescription="Crear nuevo documento." ma:contentTypeScope="" ma:versionID="0929b80a6387f2cbb3d84294443d4fc1">
  <xsd:schema xmlns:xsd="http://www.w3.org/2001/XMLSchema" xmlns:xs="http://www.w3.org/2001/XMLSchema" xmlns:p="http://schemas.microsoft.com/office/2006/metadata/properties" xmlns:ns2="ee6baba7-a779-4429-ba26-2009efdcfb44" xmlns:ns3="e8541dfb-d411-4808-a591-f14476258711" targetNamespace="http://schemas.microsoft.com/office/2006/metadata/properties" ma:root="true" ma:fieldsID="fadc25340d6cfbbbd97e059bde22cdb6" ns2:_="" ns3:_="">
    <xsd:import namespace="ee6baba7-a779-4429-ba26-2009efdcfb44"/>
    <xsd:import namespace="e8541dfb-d411-4808-a591-f14476258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6baba7-a779-4429-ba26-2009efdcf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f0c8a34c-0656-48fe-823e-7a5404ae7d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41dfb-d411-4808-a591-f144762587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fa4ad72-f839-46ff-806f-cfbceb12fe84}" ma:internalName="TaxCatchAll" ma:showField="CatchAllData" ma:web="e8541dfb-d411-4808-a591-f14476258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6baba7-a779-4429-ba26-2009efdcfb44">
      <Terms xmlns="http://schemas.microsoft.com/office/infopath/2007/PartnerControls"/>
    </lcf76f155ced4ddcb4097134ff3c332f>
    <TaxCatchAll xmlns="e8541dfb-d411-4808-a591-f14476258711" xsi:nil="true"/>
  </documentManagement>
</p:properties>
</file>

<file path=customXml/itemProps1.xml><?xml version="1.0" encoding="utf-8"?>
<ds:datastoreItem xmlns:ds="http://schemas.openxmlformats.org/officeDocument/2006/customXml" ds:itemID="{7A6D2EDC-0D6C-47C4-901B-F57A4EC620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6baba7-a779-4429-ba26-2009efdcfb44"/>
    <ds:schemaRef ds:uri="e8541dfb-d411-4808-a591-f144762587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16CC0F-0E2E-4A97-9C02-9F6B4DC056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CB3D6A-9B6F-441C-B581-6B01515B5E2C}">
  <ds:schemaRefs>
    <ds:schemaRef ds:uri="http://schemas.microsoft.com/office/2006/metadata/properties"/>
    <ds:schemaRef ds:uri="http://schemas.microsoft.com/office/infopath/2007/PartnerControls"/>
    <ds:schemaRef ds:uri="ee6baba7-a779-4429-ba26-2009efdcfb44"/>
    <ds:schemaRef ds:uri="e8541dfb-d411-4808-a591-f144762587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Prorrateo General</vt:lpstr>
      <vt:lpstr>Prorrateo resumen</vt:lpstr>
      <vt:lpstr>'Prorrateo resumen'!Área_de_impresión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</dc:creator>
  <cp:keywords/>
  <dc:description/>
  <cp:lastModifiedBy>David Clerc</cp:lastModifiedBy>
  <cp:revision/>
  <dcterms:created xsi:type="dcterms:W3CDTF">2010-10-29T19:44:32Z</dcterms:created>
  <dcterms:modified xsi:type="dcterms:W3CDTF">2026-08-09T02:19:14Z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0x01010011399DE8A1049C4694504E74784731F7</vt:lpwstr>
  </property>
  <property fmtid="{D5CDD505-2E9C-101B-9397-08002B2CF9AE}" pid="3" name="MediaServiceImageTags">
    <vt:lpwstr/>
  </property>
</Properties>
</file>